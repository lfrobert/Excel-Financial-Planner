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c17d919bd4d089c4/Documents/"/>
    </mc:Choice>
  </mc:AlternateContent>
  <xr:revisionPtr revIDLastSave="468" documentId="8_{8D1BD87D-9B3D-4130-9904-1443C7BED6F9}" xr6:coauthVersionLast="46" xr6:coauthVersionMax="46" xr10:uidLastSave="{07CE5018-002A-411E-A90A-3B9D8A9F3913}"/>
  <bookViews>
    <workbookView xWindow="-110" yWindow="-110" windowWidth="19420" windowHeight="10420" xr2:uid="{D2415332-C004-41FB-9132-3743DDACF6B7}"/>
  </bookViews>
  <sheets>
    <sheet name="Income Tracker Data" sheetId="1" r:id="rId1"/>
    <sheet name="Income Tracker Dashboard" sheetId="6" r:id="rId2"/>
    <sheet name="Expense Tracker Data" sheetId="2" r:id="rId3"/>
    <sheet name="Expense Tracker Dashboard" sheetId="5" r:id="rId4"/>
    <sheet name="Student Loan Calculator" sheetId="7" r:id="rId5"/>
    <sheet name="Bottom Line" sheetId="3" r:id="rId6"/>
    <sheet name="Do Not Touch" sheetId="4" r:id="rId7"/>
  </sheets>
  <definedNames>
    <definedName name="_xlcn.WorksheetConnection_ISM120FinancialPlannerFinalVersonLarryRoberts.xlsmExpense_Tracker_Table1" hidden="1">Expense_Tracker_Table[]</definedName>
    <definedName name="_xlcn.WorksheetConnection_ISM120FinancialPlannerFinalVersonLarryRoberts.xlsmIncome_Tracker_Table1" hidden="1">Income_Tracker_Table[]</definedName>
    <definedName name="Slicer_Date_Received__Month">#N/A</definedName>
    <definedName name="Slicer_Expense_Date__Month">#N/A</definedName>
    <definedName name="Slicer_Person">#N/A</definedName>
    <definedName name="Slicer_Person1">#N/A</definedName>
    <definedName name="Slicer_Reason_for_Expenditure">#N/A</definedName>
    <definedName name="Slicer_Source">#N/A</definedName>
    <definedName name="Slicer_Source_of_Income">#N/A</definedName>
    <definedName name="Student_Loan_Balance">'Student Loan Calculator'!$B$5:$C$8</definedName>
    <definedName name="Timeline_Date_Received">#N/A</definedName>
    <definedName name="Timeline_Expense_Date">#N/A</definedName>
  </definedNames>
  <calcPr calcId="191029"/>
  <pivotCaches>
    <pivotCache cacheId="714" r:id="rId8"/>
    <pivotCache cacheId="758" r:id="rId9"/>
    <pivotCache cacheId="797" r:id="rId10"/>
  </pivotCaches>
  <extLst>
    <ext xmlns:x14="http://schemas.microsoft.com/office/spreadsheetml/2009/9/main" uri="{876F7934-8845-4945-9796-88D515C7AA90}">
      <x14:pivotCaches>
        <pivotCache cacheId="727" r:id="rId11"/>
        <pivotCache cacheId="795" r:id="rId12"/>
      </x14:pivotCaches>
    </ex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728" r:id="rId20"/>
        <pivotCache cacheId="796" r:id="rId21"/>
      </x15:timelineCachePivotCaches>
    </ext>
    <ext xmlns:x15="http://schemas.microsoft.com/office/spreadsheetml/2010/11/main" uri="{D0CA8CA8-9F24-4464-BF8E-62219DCF47F9}">
      <x15:timelineCacheRefs>
        <x15:timelineCacheRef r:id="rId22"/>
        <x15:timelineCacheRef r:id="rId23"/>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come_Tracker_Table" name="Income_Tracker_Table" connection="WorksheetConnection_ISM 120 Financial Planner Final Verson - Larry Roberts.xlsm!Income_Tracker_Table"/>
          <x15:modelTable id="Expense_Tracker_Table" name="Expense_Tracker_Table" connection="WorksheetConnection_ISM 120 Financial Planner Final Verson - Larry Roberts.xlsm!Expense_Tracker_Table"/>
        </x15:modelTables>
        <x15:extLst>
          <ext xmlns:x16="http://schemas.microsoft.com/office/spreadsheetml/2014/11/main" uri="{9835A34E-60A6-4A7C-AAB8-D5F71C897F49}">
            <x16:modelTimeGroupings>
              <x16:modelTimeGrouping tableName="Income_Tracker_Table" columnName="Date Received" columnId="Date Received">
                <x16:calculatedTimeColumn columnName="Date Received (Year)" columnId="Date Received (Year)" contentType="years" isSelected="1"/>
                <x16:calculatedTimeColumn columnName="Date Received (Quarter)" columnId="Date Received (Quarter)" contentType="quarters" isSelected="1"/>
                <x16:calculatedTimeColumn columnName="Date Received (Month Index)" columnId="Date Received (Month Index)" contentType="monthsindex" isSelected="1"/>
                <x16:calculatedTimeColumn columnName="Date Received (Month)" columnId="Date Received (Month)" contentType="months" isSelected="1"/>
              </x16:modelTimeGrouping>
              <x16:modelTimeGrouping tableName="Expense_Tracker_Table" columnName="Expense Date" columnId="Expense Date">
                <x16:calculatedTimeColumn columnName="Expense Date (Year)" columnId="Expense Date (Year)" contentType="years" isSelected="1"/>
                <x16:calculatedTimeColumn columnName="Expense Date (Quarter)" columnId="Expense Date (Quarter)" contentType="quarters" isSelected="1"/>
                <x16:calculatedTimeColumn columnName="Expense Date (Month Index)" columnId="Expense Date (Month Index)" contentType="monthsindex" isSelected="1"/>
                <x16:calculatedTimeColumn columnName="Expense Date (Month)" columnId="Expense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3" l="1"/>
  <c r="C7" i="7" l="1"/>
  <c r="C8" i="7" s="1"/>
  <c r="U974" i="1" l="1"/>
  <c r="V974" i="1" s="1"/>
  <c r="D976" i="3" s="1"/>
  <c r="U973" i="1"/>
  <c r="V973" i="1" s="1"/>
  <c r="D975" i="3" s="1"/>
  <c r="U972" i="1"/>
  <c r="V972" i="1" s="1"/>
  <c r="D974" i="3" s="1"/>
  <c r="U971" i="1"/>
  <c r="V971" i="1" s="1"/>
  <c r="D973" i="3" s="1"/>
  <c r="U970" i="1"/>
  <c r="V970" i="1" s="1"/>
  <c r="D972" i="3" s="1"/>
  <c r="U969" i="1"/>
  <c r="V969" i="1" s="1"/>
  <c r="D971" i="3" s="1"/>
  <c r="U968" i="1"/>
  <c r="V968" i="1" s="1"/>
  <c r="D970" i="3" s="1"/>
  <c r="U967" i="1"/>
  <c r="V967" i="1" s="1"/>
  <c r="D969" i="3" s="1"/>
  <c r="U966" i="1"/>
  <c r="V966" i="1" s="1"/>
  <c r="D968" i="3" s="1"/>
  <c r="U965" i="1"/>
  <c r="V965" i="1" s="1"/>
  <c r="D967" i="3" s="1"/>
  <c r="U964" i="1"/>
  <c r="V964" i="1" s="1"/>
  <c r="D966" i="3" s="1"/>
  <c r="U963" i="1"/>
  <c r="V963" i="1" s="1"/>
  <c r="D965" i="3" s="1"/>
  <c r="U962" i="1"/>
  <c r="V962" i="1" s="1"/>
  <c r="D964" i="3" s="1"/>
  <c r="U961" i="1"/>
  <c r="V961" i="1" s="1"/>
  <c r="D963" i="3" s="1"/>
  <c r="U960" i="1"/>
  <c r="V960" i="1" s="1"/>
  <c r="D962" i="3" s="1"/>
  <c r="U959" i="1"/>
  <c r="V959" i="1" s="1"/>
  <c r="D961" i="3" s="1"/>
  <c r="U958" i="1"/>
  <c r="V958" i="1" s="1"/>
  <c r="D960" i="3" s="1"/>
  <c r="U957" i="1"/>
  <c r="V957" i="1" s="1"/>
  <c r="D959" i="3" s="1"/>
  <c r="U956" i="1"/>
  <c r="V956" i="1" s="1"/>
  <c r="D958" i="3" s="1"/>
  <c r="U955" i="1"/>
  <c r="V955" i="1" s="1"/>
  <c r="D957" i="3" s="1"/>
  <c r="U954" i="1"/>
  <c r="V954" i="1" s="1"/>
  <c r="D956" i="3" s="1"/>
  <c r="U953" i="1"/>
  <c r="V953" i="1" s="1"/>
  <c r="D955" i="3" s="1"/>
  <c r="U952" i="1"/>
  <c r="V952" i="1" s="1"/>
  <c r="D954" i="3" s="1"/>
  <c r="U951" i="1"/>
  <c r="V951" i="1" s="1"/>
  <c r="D953" i="3" s="1"/>
  <c r="U950" i="1"/>
  <c r="V950" i="1" s="1"/>
  <c r="D952" i="3" s="1"/>
  <c r="U949" i="1"/>
  <c r="V949" i="1" s="1"/>
  <c r="D951" i="3" s="1"/>
  <c r="U948" i="1"/>
  <c r="V948" i="1" s="1"/>
  <c r="D950" i="3" s="1"/>
  <c r="U947" i="1"/>
  <c r="V947" i="1" s="1"/>
  <c r="D949" i="3" s="1"/>
  <c r="U946" i="1"/>
  <c r="V946" i="1" s="1"/>
  <c r="D948" i="3" s="1"/>
  <c r="U945" i="1"/>
  <c r="V945" i="1" s="1"/>
  <c r="D947" i="3" s="1"/>
  <c r="U944" i="1"/>
  <c r="V944" i="1" s="1"/>
  <c r="D946" i="3" s="1"/>
  <c r="U943" i="1"/>
  <c r="V943" i="1" s="1"/>
  <c r="D945" i="3" s="1"/>
  <c r="U942" i="1"/>
  <c r="V942" i="1" s="1"/>
  <c r="D944" i="3" s="1"/>
  <c r="U941" i="1"/>
  <c r="V941" i="1" s="1"/>
  <c r="D943" i="3" s="1"/>
  <c r="U940" i="1"/>
  <c r="V940" i="1" s="1"/>
  <c r="D942" i="3" s="1"/>
  <c r="U939" i="1"/>
  <c r="V939" i="1" s="1"/>
  <c r="D941" i="3" s="1"/>
  <c r="U938" i="1"/>
  <c r="V938" i="1" s="1"/>
  <c r="D940" i="3" s="1"/>
  <c r="U937" i="1"/>
  <c r="V937" i="1" s="1"/>
  <c r="D939" i="3" s="1"/>
  <c r="U936" i="1"/>
  <c r="V936" i="1" s="1"/>
  <c r="D938" i="3" s="1"/>
  <c r="U935" i="1"/>
  <c r="V935" i="1" s="1"/>
  <c r="D937" i="3" s="1"/>
  <c r="U934" i="1"/>
  <c r="V934" i="1" s="1"/>
  <c r="D936" i="3" s="1"/>
  <c r="U933" i="1"/>
  <c r="V933" i="1" s="1"/>
  <c r="D935" i="3" s="1"/>
  <c r="U932" i="1"/>
  <c r="V932" i="1" s="1"/>
  <c r="D934" i="3" s="1"/>
  <c r="U931" i="1"/>
  <c r="V931" i="1" s="1"/>
  <c r="D933" i="3" s="1"/>
  <c r="U930" i="1"/>
  <c r="V930" i="1" s="1"/>
  <c r="D932" i="3" s="1"/>
  <c r="U929" i="1"/>
  <c r="V929" i="1" s="1"/>
  <c r="D931" i="3" s="1"/>
  <c r="U928" i="1"/>
  <c r="V928" i="1" s="1"/>
  <c r="D930" i="3" s="1"/>
  <c r="U927" i="1"/>
  <c r="V927" i="1" s="1"/>
  <c r="D929" i="3" s="1"/>
  <c r="U926" i="1"/>
  <c r="V926" i="1" s="1"/>
  <c r="D928" i="3" s="1"/>
  <c r="U925" i="1"/>
  <c r="V925" i="1" s="1"/>
  <c r="D927" i="3" s="1"/>
  <c r="U924" i="1"/>
  <c r="V924" i="1" s="1"/>
  <c r="D926" i="3" s="1"/>
  <c r="U923" i="1"/>
  <c r="V923" i="1" s="1"/>
  <c r="D925" i="3" s="1"/>
  <c r="U922" i="1"/>
  <c r="V922" i="1" s="1"/>
  <c r="D924" i="3" s="1"/>
  <c r="U921" i="1"/>
  <c r="V921" i="1" s="1"/>
  <c r="D923" i="3" s="1"/>
  <c r="U920" i="1"/>
  <c r="V920" i="1" s="1"/>
  <c r="D922" i="3" s="1"/>
  <c r="U919" i="1"/>
  <c r="V919" i="1" s="1"/>
  <c r="D921" i="3" s="1"/>
  <c r="U918" i="1"/>
  <c r="V918" i="1" s="1"/>
  <c r="D920" i="3" s="1"/>
  <c r="U917" i="1"/>
  <c r="V917" i="1" s="1"/>
  <c r="D919" i="3" s="1"/>
  <c r="U916" i="1"/>
  <c r="V916" i="1" s="1"/>
  <c r="D918" i="3" s="1"/>
  <c r="U915" i="1"/>
  <c r="V915" i="1" s="1"/>
  <c r="D917" i="3" s="1"/>
  <c r="U914" i="1"/>
  <c r="V914" i="1" s="1"/>
  <c r="D916" i="3" s="1"/>
  <c r="U913" i="1"/>
  <c r="V913" i="1" s="1"/>
  <c r="D915" i="3" s="1"/>
  <c r="U912" i="1"/>
  <c r="V912" i="1" s="1"/>
  <c r="D914" i="3" s="1"/>
  <c r="U911" i="1"/>
  <c r="V911" i="1" s="1"/>
  <c r="D913" i="3" s="1"/>
  <c r="U910" i="1"/>
  <c r="V910" i="1" s="1"/>
  <c r="D912" i="3" s="1"/>
  <c r="U909" i="1"/>
  <c r="V909" i="1" s="1"/>
  <c r="D911" i="3" s="1"/>
  <c r="U908" i="1"/>
  <c r="V908" i="1" s="1"/>
  <c r="D910" i="3" s="1"/>
  <c r="U907" i="1"/>
  <c r="V907" i="1" s="1"/>
  <c r="D909" i="3" s="1"/>
  <c r="U906" i="1"/>
  <c r="V906" i="1" s="1"/>
  <c r="D908" i="3" s="1"/>
  <c r="U905" i="1"/>
  <c r="V905" i="1" s="1"/>
  <c r="D907" i="3" s="1"/>
  <c r="U904" i="1"/>
  <c r="V904" i="1" s="1"/>
  <c r="D906" i="3" s="1"/>
  <c r="U903" i="1"/>
  <c r="V903" i="1" s="1"/>
  <c r="D905" i="3" s="1"/>
  <c r="U902" i="1"/>
  <c r="V902" i="1" s="1"/>
  <c r="D904" i="3" s="1"/>
  <c r="U901" i="1"/>
  <c r="V901" i="1" s="1"/>
  <c r="D903" i="3" s="1"/>
  <c r="U900" i="1"/>
  <c r="V900" i="1" s="1"/>
  <c r="D902" i="3" s="1"/>
  <c r="U899" i="1"/>
  <c r="V899" i="1" s="1"/>
  <c r="D901" i="3" s="1"/>
  <c r="U898" i="1"/>
  <c r="V898" i="1" s="1"/>
  <c r="D900" i="3" s="1"/>
  <c r="U897" i="1"/>
  <c r="V897" i="1" s="1"/>
  <c r="D899" i="3" s="1"/>
  <c r="U896" i="1"/>
  <c r="V896" i="1" s="1"/>
  <c r="D898" i="3" s="1"/>
  <c r="U895" i="1"/>
  <c r="V895" i="1" s="1"/>
  <c r="D897" i="3" s="1"/>
  <c r="U894" i="1"/>
  <c r="V894" i="1" s="1"/>
  <c r="D896" i="3" s="1"/>
  <c r="U893" i="1"/>
  <c r="V893" i="1" s="1"/>
  <c r="D895" i="3" s="1"/>
  <c r="U892" i="1"/>
  <c r="V892" i="1" s="1"/>
  <c r="D894" i="3" s="1"/>
  <c r="U891" i="1"/>
  <c r="V891" i="1" s="1"/>
  <c r="D893" i="3" s="1"/>
  <c r="U890" i="1"/>
  <c r="V890" i="1" s="1"/>
  <c r="D892" i="3" s="1"/>
  <c r="U889" i="1"/>
  <c r="V889" i="1" s="1"/>
  <c r="D891" i="3" s="1"/>
  <c r="U888" i="1"/>
  <c r="V888" i="1" s="1"/>
  <c r="D890" i="3" s="1"/>
  <c r="U887" i="1"/>
  <c r="V887" i="1" s="1"/>
  <c r="D889" i="3" s="1"/>
  <c r="U886" i="1"/>
  <c r="V886" i="1" s="1"/>
  <c r="D888" i="3" s="1"/>
  <c r="U885" i="1"/>
  <c r="V885" i="1" s="1"/>
  <c r="D887" i="3" s="1"/>
  <c r="U884" i="1"/>
  <c r="V884" i="1" s="1"/>
  <c r="D886" i="3" s="1"/>
  <c r="U883" i="1"/>
  <c r="V883" i="1" s="1"/>
  <c r="D885" i="3" s="1"/>
  <c r="U882" i="1"/>
  <c r="V882" i="1" s="1"/>
  <c r="D884" i="3" s="1"/>
  <c r="U881" i="1"/>
  <c r="V881" i="1" s="1"/>
  <c r="D883" i="3" s="1"/>
  <c r="U880" i="1"/>
  <c r="V880" i="1" s="1"/>
  <c r="D882" i="3" s="1"/>
  <c r="U879" i="1"/>
  <c r="V879" i="1" s="1"/>
  <c r="D881" i="3" s="1"/>
  <c r="U878" i="1"/>
  <c r="V878" i="1" s="1"/>
  <c r="D880" i="3" s="1"/>
  <c r="U877" i="1"/>
  <c r="V877" i="1" s="1"/>
  <c r="D879" i="3" s="1"/>
  <c r="U876" i="1"/>
  <c r="V876" i="1" s="1"/>
  <c r="D878" i="3" s="1"/>
  <c r="U875" i="1"/>
  <c r="V875" i="1" s="1"/>
  <c r="D877" i="3" s="1"/>
  <c r="U874" i="1"/>
  <c r="V874" i="1" s="1"/>
  <c r="D876" i="3" s="1"/>
  <c r="U873" i="1"/>
  <c r="V873" i="1" s="1"/>
  <c r="D875" i="3" s="1"/>
  <c r="U872" i="1"/>
  <c r="V872" i="1" s="1"/>
  <c r="D874" i="3" s="1"/>
  <c r="U871" i="1"/>
  <c r="V871" i="1" s="1"/>
  <c r="D873" i="3" s="1"/>
  <c r="U870" i="1"/>
  <c r="V870" i="1" s="1"/>
  <c r="D872" i="3" s="1"/>
  <c r="U869" i="1"/>
  <c r="V869" i="1" s="1"/>
  <c r="D871" i="3" s="1"/>
  <c r="U868" i="1"/>
  <c r="V868" i="1" s="1"/>
  <c r="D870" i="3" s="1"/>
  <c r="U867" i="1"/>
  <c r="V867" i="1" s="1"/>
  <c r="D869" i="3" s="1"/>
  <c r="U866" i="1"/>
  <c r="V866" i="1" s="1"/>
  <c r="D868" i="3" s="1"/>
  <c r="U865" i="1"/>
  <c r="V865" i="1" s="1"/>
  <c r="D867" i="3" s="1"/>
  <c r="U864" i="1"/>
  <c r="V864" i="1" s="1"/>
  <c r="D866" i="3" s="1"/>
  <c r="U863" i="1"/>
  <c r="V863" i="1" s="1"/>
  <c r="D865" i="3" s="1"/>
  <c r="U862" i="1"/>
  <c r="V862" i="1" s="1"/>
  <c r="D864" i="3" s="1"/>
  <c r="U861" i="1"/>
  <c r="V861" i="1" s="1"/>
  <c r="D863" i="3" s="1"/>
  <c r="U860" i="1"/>
  <c r="V860" i="1" s="1"/>
  <c r="D862" i="3" s="1"/>
  <c r="U859" i="1"/>
  <c r="V859" i="1" s="1"/>
  <c r="D861" i="3" s="1"/>
  <c r="U858" i="1"/>
  <c r="V858" i="1" s="1"/>
  <c r="D860" i="3" s="1"/>
  <c r="U857" i="1"/>
  <c r="V857" i="1" s="1"/>
  <c r="D859" i="3" s="1"/>
  <c r="U856" i="1"/>
  <c r="V856" i="1" s="1"/>
  <c r="D858" i="3" s="1"/>
  <c r="U855" i="1"/>
  <c r="V855" i="1" s="1"/>
  <c r="D857" i="3" s="1"/>
  <c r="U854" i="1"/>
  <c r="V854" i="1" s="1"/>
  <c r="D856" i="3" s="1"/>
  <c r="U853" i="1"/>
  <c r="V853" i="1" s="1"/>
  <c r="D855" i="3" s="1"/>
  <c r="U852" i="1"/>
  <c r="V852" i="1" s="1"/>
  <c r="D854" i="3" s="1"/>
  <c r="U851" i="1"/>
  <c r="V851" i="1" s="1"/>
  <c r="D853" i="3" s="1"/>
  <c r="U850" i="1"/>
  <c r="V850" i="1" s="1"/>
  <c r="D852" i="3" s="1"/>
  <c r="U849" i="1"/>
  <c r="V849" i="1" s="1"/>
  <c r="D851" i="3" s="1"/>
  <c r="U848" i="1"/>
  <c r="V848" i="1" s="1"/>
  <c r="D850" i="3" s="1"/>
  <c r="U847" i="1"/>
  <c r="V847" i="1" s="1"/>
  <c r="D849" i="3" s="1"/>
  <c r="U846" i="1"/>
  <c r="V846" i="1" s="1"/>
  <c r="D848" i="3" s="1"/>
  <c r="U845" i="1"/>
  <c r="V845" i="1" s="1"/>
  <c r="D847" i="3" s="1"/>
  <c r="U844" i="1"/>
  <c r="V844" i="1" s="1"/>
  <c r="D846" i="3" s="1"/>
  <c r="U843" i="1"/>
  <c r="V843" i="1" s="1"/>
  <c r="D845" i="3" s="1"/>
  <c r="U842" i="1"/>
  <c r="V842" i="1" s="1"/>
  <c r="D844" i="3" s="1"/>
  <c r="U841" i="1"/>
  <c r="V841" i="1" s="1"/>
  <c r="D843" i="3" s="1"/>
  <c r="U840" i="1"/>
  <c r="V840" i="1" s="1"/>
  <c r="D842" i="3" s="1"/>
  <c r="U839" i="1"/>
  <c r="V839" i="1" s="1"/>
  <c r="D841" i="3" s="1"/>
  <c r="U838" i="1"/>
  <c r="V838" i="1" s="1"/>
  <c r="D840" i="3" s="1"/>
  <c r="U837" i="1"/>
  <c r="V837" i="1" s="1"/>
  <c r="D839" i="3" s="1"/>
  <c r="U836" i="1"/>
  <c r="V836" i="1" s="1"/>
  <c r="D838" i="3" s="1"/>
  <c r="U835" i="1"/>
  <c r="V835" i="1" s="1"/>
  <c r="D837" i="3" s="1"/>
  <c r="U834" i="1"/>
  <c r="V834" i="1" s="1"/>
  <c r="D836" i="3" s="1"/>
  <c r="U833" i="1"/>
  <c r="V833" i="1" s="1"/>
  <c r="D835" i="3" s="1"/>
  <c r="U832" i="1"/>
  <c r="V832" i="1" s="1"/>
  <c r="D834" i="3" s="1"/>
  <c r="U831" i="1"/>
  <c r="V831" i="1" s="1"/>
  <c r="D833" i="3" s="1"/>
  <c r="U830" i="1"/>
  <c r="V830" i="1" s="1"/>
  <c r="D832" i="3" s="1"/>
  <c r="U829" i="1"/>
  <c r="V829" i="1" s="1"/>
  <c r="D831" i="3" s="1"/>
  <c r="U828" i="1"/>
  <c r="V828" i="1" s="1"/>
  <c r="D830" i="3" s="1"/>
  <c r="U827" i="1"/>
  <c r="V827" i="1" s="1"/>
  <c r="D829" i="3" s="1"/>
  <c r="U826" i="1"/>
  <c r="V826" i="1" s="1"/>
  <c r="D828" i="3" s="1"/>
  <c r="U825" i="1"/>
  <c r="V825" i="1" s="1"/>
  <c r="D827" i="3" s="1"/>
  <c r="U824" i="1"/>
  <c r="V824" i="1" s="1"/>
  <c r="D826" i="3" s="1"/>
  <c r="U823" i="1"/>
  <c r="V823" i="1" s="1"/>
  <c r="D825" i="3" s="1"/>
  <c r="U822" i="1"/>
  <c r="V822" i="1" s="1"/>
  <c r="D824" i="3" s="1"/>
  <c r="U821" i="1"/>
  <c r="V821" i="1" s="1"/>
  <c r="D823" i="3" s="1"/>
  <c r="U820" i="1"/>
  <c r="V820" i="1" s="1"/>
  <c r="D822" i="3" s="1"/>
  <c r="U819" i="1"/>
  <c r="V819" i="1" s="1"/>
  <c r="D821" i="3" s="1"/>
  <c r="U818" i="1"/>
  <c r="V818" i="1" s="1"/>
  <c r="D820" i="3" s="1"/>
  <c r="U817" i="1"/>
  <c r="V817" i="1" s="1"/>
  <c r="D819" i="3" s="1"/>
  <c r="U816" i="1"/>
  <c r="V816" i="1" s="1"/>
  <c r="D818" i="3" s="1"/>
  <c r="U815" i="1"/>
  <c r="V815" i="1" s="1"/>
  <c r="D817" i="3" s="1"/>
  <c r="U814" i="1"/>
  <c r="V814" i="1" s="1"/>
  <c r="D816" i="3" s="1"/>
  <c r="U813" i="1"/>
  <c r="V813" i="1" s="1"/>
  <c r="D815" i="3" s="1"/>
  <c r="U812" i="1"/>
  <c r="V812" i="1" s="1"/>
  <c r="D814" i="3" s="1"/>
  <c r="U811" i="1"/>
  <c r="V811" i="1" s="1"/>
  <c r="D813" i="3" s="1"/>
  <c r="U810" i="1"/>
  <c r="V810" i="1" s="1"/>
  <c r="D812" i="3" s="1"/>
  <c r="U809" i="1"/>
  <c r="V809" i="1" s="1"/>
  <c r="D811" i="3" s="1"/>
  <c r="U808" i="1"/>
  <c r="V808" i="1" s="1"/>
  <c r="D810" i="3" s="1"/>
  <c r="U807" i="1"/>
  <c r="V807" i="1" s="1"/>
  <c r="D809" i="3" s="1"/>
  <c r="U806" i="1"/>
  <c r="V806" i="1" s="1"/>
  <c r="D808" i="3" s="1"/>
  <c r="U805" i="1"/>
  <c r="V805" i="1" s="1"/>
  <c r="D807" i="3" s="1"/>
  <c r="U804" i="1"/>
  <c r="V804" i="1" s="1"/>
  <c r="D806" i="3" s="1"/>
  <c r="U803" i="1"/>
  <c r="V803" i="1" s="1"/>
  <c r="D805" i="3" s="1"/>
  <c r="U802" i="1"/>
  <c r="V802" i="1" s="1"/>
  <c r="D804" i="3" s="1"/>
  <c r="U801" i="1"/>
  <c r="V801" i="1" s="1"/>
  <c r="D803" i="3" s="1"/>
  <c r="U800" i="1"/>
  <c r="V800" i="1" s="1"/>
  <c r="D802" i="3" s="1"/>
  <c r="U799" i="1"/>
  <c r="V799" i="1" s="1"/>
  <c r="D801" i="3" s="1"/>
  <c r="U798" i="1"/>
  <c r="V798" i="1" s="1"/>
  <c r="D800" i="3" s="1"/>
  <c r="U797" i="1"/>
  <c r="V797" i="1" s="1"/>
  <c r="D799" i="3" s="1"/>
  <c r="U796" i="1"/>
  <c r="V796" i="1" s="1"/>
  <c r="D798" i="3" s="1"/>
  <c r="U795" i="1"/>
  <c r="V795" i="1" s="1"/>
  <c r="D797" i="3" s="1"/>
  <c r="U794" i="1"/>
  <c r="V794" i="1" s="1"/>
  <c r="D796" i="3" s="1"/>
  <c r="U793" i="1"/>
  <c r="V793" i="1" s="1"/>
  <c r="D795" i="3" s="1"/>
  <c r="U792" i="1"/>
  <c r="V792" i="1" s="1"/>
  <c r="D794" i="3" s="1"/>
  <c r="U791" i="1"/>
  <c r="V791" i="1" s="1"/>
  <c r="D793" i="3" s="1"/>
  <c r="U790" i="1"/>
  <c r="V790" i="1" s="1"/>
  <c r="D792" i="3" s="1"/>
  <c r="U789" i="1"/>
  <c r="V789" i="1" s="1"/>
  <c r="D791" i="3" s="1"/>
  <c r="U788" i="1"/>
  <c r="V788" i="1" s="1"/>
  <c r="D790" i="3" s="1"/>
  <c r="U787" i="1"/>
  <c r="V787" i="1" s="1"/>
  <c r="D789" i="3" s="1"/>
  <c r="U786" i="1"/>
  <c r="V786" i="1" s="1"/>
  <c r="D788" i="3" s="1"/>
  <c r="U785" i="1"/>
  <c r="V785" i="1" s="1"/>
  <c r="D787" i="3" s="1"/>
  <c r="U784" i="1"/>
  <c r="V784" i="1" s="1"/>
  <c r="D786" i="3" s="1"/>
  <c r="U783" i="1"/>
  <c r="V783" i="1" s="1"/>
  <c r="D785" i="3" s="1"/>
  <c r="U782" i="1"/>
  <c r="V782" i="1" s="1"/>
  <c r="D784" i="3" s="1"/>
  <c r="U781" i="1"/>
  <c r="V781" i="1" s="1"/>
  <c r="D783" i="3" s="1"/>
  <c r="U780" i="1"/>
  <c r="V780" i="1" s="1"/>
  <c r="D782" i="3" s="1"/>
  <c r="U779" i="1"/>
  <c r="V779" i="1" s="1"/>
  <c r="D781" i="3" s="1"/>
  <c r="U778" i="1"/>
  <c r="V778" i="1" s="1"/>
  <c r="D780" i="3" s="1"/>
  <c r="U777" i="1"/>
  <c r="V777" i="1" s="1"/>
  <c r="D779" i="3" s="1"/>
  <c r="U776" i="1"/>
  <c r="V776" i="1" s="1"/>
  <c r="D778" i="3" s="1"/>
  <c r="U775" i="1"/>
  <c r="V775" i="1" s="1"/>
  <c r="D777" i="3" s="1"/>
  <c r="U774" i="1"/>
  <c r="V774" i="1" s="1"/>
  <c r="D776" i="3" s="1"/>
  <c r="U773" i="1"/>
  <c r="V773" i="1" s="1"/>
  <c r="D775" i="3" s="1"/>
  <c r="U772" i="1"/>
  <c r="V772" i="1" s="1"/>
  <c r="D774" i="3" s="1"/>
  <c r="U771" i="1"/>
  <c r="V771" i="1" s="1"/>
  <c r="D773" i="3" s="1"/>
  <c r="U770" i="1"/>
  <c r="V770" i="1" s="1"/>
  <c r="D772" i="3" s="1"/>
  <c r="U769" i="1"/>
  <c r="V769" i="1" s="1"/>
  <c r="D771" i="3" s="1"/>
  <c r="U768" i="1"/>
  <c r="V768" i="1" s="1"/>
  <c r="D770" i="3" s="1"/>
  <c r="U767" i="1"/>
  <c r="V767" i="1" s="1"/>
  <c r="D769" i="3" s="1"/>
  <c r="U766" i="1"/>
  <c r="V766" i="1" s="1"/>
  <c r="D768" i="3" s="1"/>
  <c r="U765" i="1"/>
  <c r="V765" i="1" s="1"/>
  <c r="D767" i="3" s="1"/>
  <c r="U764" i="1"/>
  <c r="V764" i="1" s="1"/>
  <c r="D766" i="3" s="1"/>
  <c r="U763" i="1"/>
  <c r="V763" i="1" s="1"/>
  <c r="D765" i="3" s="1"/>
  <c r="U762" i="1"/>
  <c r="V762" i="1" s="1"/>
  <c r="D764" i="3" s="1"/>
  <c r="U761" i="1"/>
  <c r="V761" i="1" s="1"/>
  <c r="D763" i="3" s="1"/>
  <c r="U760" i="1"/>
  <c r="V760" i="1" s="1"/>
  <c r="D762" i="3" s="1"/>
  <c r="U759" i="1"/>
  <c r="V759" i="1" s="1"/>
  <c r="D761" i="3" s="1"/>
  <c r="U758" i="1"/>
  <c r="V758" i="1" s="1"/>
  <c r="D760" i="3" s="1"/>
  <c r="U757" i="1"/>
  <c r="V757" i="1" s="1"/>
  <c r="D759" i="3" s="1"/>
  <c r="U756" i="1"/>
  <c r="V756" i="1" s="1"/>
  <c r="D758" i="3" s="1"/>
  <c r="U755" i="1"/>
  <c r="V755" i="1" s="1"/>
  <c r="D757" i="3" s="1"/>
  <c r="U754" i="1"/>
  <c r="V754" i="1" s="1"/>
  <c r="D756" i="3" s="1"/>
  <c r="U753" i="1"/>
  <c r="V753" i="1" s="1"/>
  <c r="D755" i="3" s="1"/>
  <c r="U752" i="1"/>
  <c r="V752" i="1" s="1"/>
  <c r="D754" i="3" s="1"/>
  <c r="U751" i="1"/>
  <c r="V751" i="1" s="1"/>
  <c r="D753" i="3" s="1"/>
  <c r="U750" i="1"/>
  <c r="V750" i="1" s="1"/>
  <c r="D752" i="3" s="1"/>
  <c r="U749" i="1"/>
  <c r="V749" i="1" s="1"/>
  <c r="D751" i="3" s="1"/>
  <c r="U748" i="1"/>
  <c r="V748" i="1" s="1"/>
  <c r="D750" i="3" s="1"/>
  <c r="U747" i="1"/>
  <c r="V747" i="1" s="1"/>
  <c r="D749" i="3" s="1"/>
  <c r="U746" i="1"/>
  <c r="V746" i="1" s="1"/>
  <c r="D748" i="3" s="1"/>
  <c r="U745" i="1"/>
  <c r="V745" i="1" s="1"/>
  <c r="D747" i="3" s="1"/>
  <c r="U744" i="1"/>
  <c r="V744" i="1" s="1"/>
  <c r="D746" i="3" s="1"/>
  <c r="U743" i="1"/>
  <c r="V743" i="1" s="1"/>
  <c r="D745" i="3" s="1"/>
  <c r="U742" i="1"/>
  <c r="V742" i="1" s="1"/>
  <c r="D744" i="3" s="1"/>
  <c r="U741" i="1"/>
  <c r="V741" i="1" s="1"/>
  <c r="D743" i="3" s="1"/>
  <c r="U740" i="1"/>
  <c r="V740" i="1" s="1"/>
  <c r="D742" i="3" s="1"/>
  <c r="U739" i="1"/>
  <c r="V739" i="1" s="1"/>
  <c r="D741" i="3" s="1"/>
  <c r="U738" i="1"/>
  <c r="V738" i="1" s="1"/>
  <c r="D740" i="3" s="1"/>
  <c r="U737" i="1"/>
  <c r="V737" i="1" s="1"/>
  <c r="D739" i="3" s="1"/>
  <c r="U736" i="1"/>
  <c r="V736" i="1" s="1"/>
  <c r="D738" i="3" s="1"/>
  <c r="U735" i="1"/>
  <c r="V735" i="1" s="1"/>
  <c r="D737" i="3" s="1"/>
  <c r="U734" i="1"/>
  <c r="V734" i="1" s="1"/>
  <c r="D736" i="3" s="1"/>
  <c r="U733" i="1"/>
  <c r="V733" i="1" s="1"/>
  <c r="D735" i="3" s="1"/>
  <c r="U732" i="1"/>
  <c r="V732" i="1" s="1"/>
  <c r="D734" i="3" s="1"/>
  <c r="U731" i="1"/>
  <c r="V731" i="1" s="1"/>
  <c r="D733" i="3" s="1"/>
  <c r="U730" i="1"/>
  <c r="V730" i="1" s="1"/>
  <c r="D732" i="3" s="1"/>
  <c r="U729" i="1"/>
  <c r="V729" i="1" s="1"/>
  <c r="D731" i="3" s="1"/>
  <c r="U728" i="1"/>
  <c r="V728" i="1" s="1"/>
  <c r="D730" i="3" s="1"/>
  <c r="U727" i="1"/>
  <c r="V727" i="1" s="1"/>
  <c r="D729" i="3" s="1"/>
  <c r="U726" i="1"/>
  <c r="V726" i="1" s="1"/>
  <c r="D728" i="3" s="1"/>
  <c r="U725" i="1"/>
  <c r="V725" i="1" s="1"/>
  <c r="D727" i="3" s="1"/>
  <c r="U724" i="1"/>
  <c r="V724" i="1" s="1"/>
  <c r="D726" i="3" s="1"/>
  <c r="U723" i="1"/>
  <c r="V723" i="1" s="1"/>
  <c r="D725" i="3" s="1"/>
  <c r="U722" i="1"/>
  <c r="V722" i="1" s="1"/>
  <c r="D724" i="3" s="1"/>
  <c r="U721" i="1"/>
  <c r="V721" i="1" s="1"/>
  <c r="D723" i="3" s="1"/>
  <c r="U720" i="1"/>
  <c r="V720" i="1" s="1"/>
  <c r="D722" i="3" s="1"/>
  <c r="U719" i="1"/>
  <c r="V719" i="1" s="1"/>
  <c r="D721" i="3" s="1"/>
  <c r="U718" i="1"/>
  <c r="V718" i="1" s="1"/>
  <c r="D720" i="3" s="1"/>
  <c r="U717" i="1"/>
  <c r="V717" i="1" s="1"/>
  <c r="D719" i="3" s="1"/>
  <c r="U716" i="1"/>
  <c r="V716" i="1" s="1"/>
  <c r="D718" i="3" s="1"/>
  <c r="U715" i="1"/>
  <c r="V715" i="1" s="1"/>
  <c r="D717" i="3" s="1"/>
  <c r="U714" i="1"/>
  <c r="V714" i="1" s="1"/>
  <c r="D716" i="3" s="1"/>
  <c r="U713" i="1"/>
  <c r="V713" i="1" s="1"/>
  <c r="D715" i="3" s="1"/>
  <c r="U712" i="1"/>
  <c r="V712" i="1" s="1"/>
  <c r="D714" i="3" s="1"/>
  <c r="U711" i="1"/>
  <c r="V711" i="1" s="1"/>
  <c r="D713" i="3" s="1"/>
  <c r="U710" i="1"/>
  <c r="V710" i="1" s="1"/>
  <c r="D712" i="3" s="1"/>
  <c r="U709" i="1"/>
  <c r="V709" i="1" s="1"/>
  <c r="D711" i="3" s="1"/>
  <c r="U708" i="1"/>
  <c r="V708" i="1" s="1"/>
  <c r="D710" i="3" s="1"/>
  <c r="U707" i="1"/>
  <c r="V707" i="1" s="1"/>
  <c r="D709" i="3" s="1"/>
  <c r="U706" i="1"/>
  <c r="V706" i="1" s="1"/>
  <c r="D708" i="3" s="1"/>
  <c r="U705" i="1"/>
  <c r="V705" i="1" s="1"/>
  <c r="D707" i="3" s="1"/>
  <c r="U704" i="1"/>
  <c r="V704" i="1" s="1"/>
  <c r="D706" i="3" s="1"/>
  <c r="U703" i="1"/>
  <c r="V703" i="1" s="1"/>
  <c r="D705" i="3" s="1"/>
  <c r="U702" i="1"/>
  <c r="V702" i="1" s="1"/>
  <c r="D704" i="3" s="1"/>
  <c r="U701" i="1"/>
  <c r="V701" i="1" s="1"/>
  <c r="D703" i="3" s="1"/>
  <c r="U700" i="1"/>
  <c r="V700" i="1" s="1"/>
  <c r="D702" i="3" s="1"/>
  <c r="U699" i="1"/>
  <c r="V699" i="1" s="1"/>
  <c r="D701" i="3" s="1"/>
  <c r="U698" i="1"/>
  <c r="V698" i="1" s="1"/>
  <c r="D700" i="3" s="1"/>
  <c r="U697" i="1"/>
  <c r="V697" i="1" s="1"/>
  <c r="D699" i="3" s="1"/>
  <c r="U696" i="1"/>
  <c r="V696" i="1" s="1"/>
  <c r="D698" i="3" s="1"/>
  <c r="U695" i="1"/>
  <c r="V695" i="1" s="1"/>
  <c r="D697" i="3" s="1"/>
  <c r="U694" i="1"/>
  <c r="V694" i="1" s="1"/>
  <c r="D696" i="3" s="1"/>
  <c r="U693" i="1"/>
  <c r="V693" i="1" s="1"/>
  <c r="D695" i="3" s="1"/>
  <c r="U692" i="1"/>
  <c r="V692" i="1" s="1"/>
  <c r="D694" i="3" s="1"/>
  <c r="U691" i="1"/>
  <c r="V691" i="1" s="1"/>
  <c r="D693" i="3" s="1"/>
  <c r="U690" i="1"/>
  <c r="V690" i="1" s="1"/>
  <c r="D692" i="3" s="1"/>
  <c r="U689" i="1"/>
  <c r="V689" i="1" s="1"/>
  <c r="D691" i="3" s="1"/>
  <c r="U688" i="1"/>
  <c r="V688" i="1" s="1"/>
  <c r="D690" i="3" s="1"/>
  <c r="U687" i="1"/>
  <c r="V687" i="1" s="1"/>
  <c r="D689" i="3" s="1"/>
  <c r="U686" i="1"/>
  <c r="V686" i="1" s="1"/>
  <c r="D688" i="3" s="1"/>
  <c r="U685" i="1"/>
  <c r="V685" i="1" s="1"/>
  <c r="D687" i="3" s="1"/>
  <c r="U684" i="1"/>
  <c r="V684" i="1" s="1"/>
  <c r="D686" i="3" s="1"/>
  <c r="U683" i="1"/>
  <c r="V683" i="1" s="1"/>
  <c r="D685" i="3" s="1"/>
  <c r="U682" i="1"/>
  <c r="V682" i="1" s="1"/>
  <c r="D684" i="3" s="1"/>
  <c r="U681" i="1"/>
  <c r="V681" i="1" s="1"/>
  <c r="D683" i="3" s="1"/>
  <c r="U680" i="1"/>
  <c r="V680" i="1" s="1"/>
  <c r="D682" i="3" s="1"/>
  <c r="U679" i="1"/>
  <c r="V679" i="1" s="1"/>
  <c r="D681" i="3" s="1"/>
  <c r="U678" i="1"/>
  <c r="V678" i="1" s="1"/>
  <c r="D680" i="3" s="1"/>
  <c r="U677" i="1"/>
  <c r="V677" i="1" s="1"/>
  <c r="D679" i="3" s="1"/>
  <c r="U676" i="1"/>
  <c r="V676" i="1" s="1"/>
  <c r="D678" i="3" s="1"/>
  <c r="U675" i="1"/>
  <c r="V675" i="1" s="1"/>
  <c r="D677" i="3" s="1"/>
  <c r="U674" i="1"/>
  <c r="V674" i="1" s="1"/>
  <c r="D676" i="3" s="1"/>
  <c r="U673" i="1"/>
  <c r="V673" i="1" s="1"/>
  <c r="D675" i="3" s="1"/>
  <c r="U672" i="1"/>
  <c r="V672" i="1" s="1"/>
  <c r="D674" i="3" s="1"/>
  <c r="U671" i="1"/>
  <c r="V671" i="1" s="1"/>
  <c r="D673" i="3" s="1"/>
  <c r="U670" i="1"/>
  <c r="V670" i="1" s="1"/>
  <c r="D672" i="3" s="1"/>
  <c r="U669" i="1"/>
  <c r="V669" i="1" s="1"/>
  <c r="D671" i="3" s="1"/>
  <c r="U668" i="1"/>
  <c r="V668" i="1" s="1"/>
  <c r="D670" i="3" s="1"/>
  <c r="U667" i="1"/>
  <c r="V667" i="1" s="1"/>
  <c r="D669" i="3" s="1"/>
  <c r="U666" i="1"/>
  <c r="V666" i="1" s="1"/>
  <c r="D668" i="3" s="1"/>
  <c r="U665" i="1"/>
  <c r="V665" i="1" s="1"/>
  <c r="D667" i="3" s="1"/>
  <c r="U664" i="1"/>
  <c r="V664" i="1" s="1"/>
  <c r="D666" i="3" s="1"/>
  <c r="U663" i="1"/>
  <c r="V663" i="1" s="1"/>
  <c r="D665" i="3" s="1"/>
  <c r="U662" i="1"/>
  <c r="V662" i="1" s="1"/>
  <c r="D664" i="3" s="1"/>
  <c r="U661" i="1"/>
  <c r="V661" i="1" s="1"/>
  <c r="D663" i="3" s="1"/>
  <c r="U660" i="1"/>
  <c r="V660" i="1" s="1"/>
  <c r="D662" i="3" s="1"/>
  <c r="U659" i="1"/>
  <c r="V659" i="1" s="1"/>
  <c r="D661" i="3" s="1"/>
  <c r="U658" i="1"/>
  <c r="V658" i="1" s="1"/>
  <c r="D660" i="3" s="1"/>
  <c r="U657" i="1"/>
  <c r="V657" i="1" s="1"/>
  <c r="D659" i="3" s="1"/>
  <c r="U656" i="1"/>
  <c r="V656" i="1" s="1"/>
  <c r="D658" i="3" s="1"/>
  <c r="U655" i="1"/>
  <c r="V655" i="1" s="1"/>
  <c r="D657" i="3" s="1"/>
  <c r="U654" i="1"/>
  <c r="V654" i="1" s="1"/>
  <c r="D656" i="3" s="1"/>
  <c r="U653" i="1"/>
  <c r="V653" i="1" s="1"/>
  <c r="D655" i="3" s="1"/>
  <c r="U652" i="1"/>
  <c r="V652" i="1" s="1"/>
  <c r="D654" i="3" s="1"/>
  <c r="U651" i="1"/>
  <c r="V651" i="1" s="1"/>
  <c r="D653" i="3" s="1"/>
  <c r="U650" i="1"/>
  <c r="V650" i="1" s="1"/>
  <c r="D652" i="3" s="1"/>
  <c r="U649" i="1"/>
  <c r="V649" i="1" s="1"/>
  <c r="D651" i="3" s="1"/>
  <c r="U648" i="1"/>
  <c r="V648" i="1" s="1"/>
  <c r="D650" i="3" s="1"/>
  <c r="U647" i="1"/>
  <c r="V647" i="1" s="1"/>
  <c r="D649" i="3" s="1"/>
  <c r="U646" i="1"/>
  <c r="V646" i="1" s="1"/>
  <c r="D648" i="3" s="1"/>
  <c r="U645" i="1"/>
  <c r="V645" i="1" s="1"/>
  <c r="D647" i="3" s="1"/>
  <c r="U644" i="1"/>
  <c r="V644" i="1" s="1"/>
  <c r="D646" i="3" s="1"/>
  <c r="U643" i="1"/>
  <c r="V643" i="1" s="1"/>
  <c r="D645" i="3" s="1"/>
  <c r="U642" i="1"/>
  <c r="V642" i="1" s="1"/>
  <c r="D644" i="3" s="1"/>
  <c r="U641" i="1"/>
  <c r="V641" i="1" s="1"/>
  <c r="D643" i="3" s="1"/>
  <c r="U640" i="1"/>
  <c r="V640" i="1" s="1"/>
  <c r="D642" i="3" s="1"/>
  <c r="U639" i="1"/>
  <c r="V639" i="1" s="1"/>
  <c r="D641" i="3" s="1"/>
  <c r="U638" i="1"/>
  <c r="V638" i="1" s="1"/>
  <c r="D640" i="3" s="1"/>
  <c r="U637" i="1"/>
  <c r="V637" i="1" s="1"/>
  <c r="D639" i="3" s="1"/>
  <c r="U636" i="1"/>
  <c r="V636" i="1" s="1"/>
  <c r="D638" i="3" s="1"/>
  <c r="U635" i="1"/>
  <c r="V635" i="1" s="1"/>
  <c r="D637" i="3" s="1"/>
  <c r="U634" i="1"/>
  <c r="V634" i="1" s="1"/>
  <c r="D636" i="3" s="1"/>
  <c r="U633" i="1"/>
  <c r="V633" i="1" s="1"/>
  <c r="D635" i="3" s="1"/>
  <c r="U632" i="1"/>
  <c r="V632" i="1" s="1"/>
  <c r="D634" i="3" s="1"/>
  <c r="U631" i="1"/>
  <c r="V631" i="1" s="1"/>
  <c r="D633" i="3" s="1"/>
  <c r="U630" i="1"/>
  <c r="V630" i="1" s="1"/>
  <c r="D632" i="3" s="1"/>
  <c r="U629" i="1"/>
  <c r="V629" i="1" s="1"/>
  <c r="D631" i="3" s="1"/>
  <c r="U628" i="1"/>
  <c r="V628" i="1" s="1"/>
  <c r="D630" i="3" s="1"/>
  <c r="U627" i="1"/>
  <c r="V627" i="1" s="1"/>
  <c r="D629" i="3" s="1"/>
  <c r="U626" i="1"/>
  <c r="V626" i="1" s="1"/>
  <c r="D628" i="3" s="1"/>
  <c r="U625" i="1"/>
  <c r="V625" i="1" s="1"/>
  <c r="D627" i="3" s="1"/>
  <c r="U624" i="1"/>
  <c r="V624" i="1" s="1"/>
  <c r="D626" i="3" s="1"/>
  <c r="U623" i="1"/>
  <c r="V623" i="1" s="1"/>
  <c r="D625" i="3" s="1"/>
  <c r="U622" i="1"/>
  <c r="V622" i="1" s="1"/>
  <c r="D624" i="3" s="1"/>
  <c r="U621" i="1"/>
  <c r="V621" i="1" s="1"/>
  <c r="D623" i="3" s="1"/>
  <c r="U620" i="1"/>
  <c r="V620" i="1" s="1"/>
  <c r="D622" i="3" s="1"/>
  <c r="U619" i="1"/>
  <c r="V619" i="1" s="1"/>
  <c r="D621" i="3" s="1"/>
  <c r="U618" i="1"/>
  <c r="V618" i="1" s="1"/>
  <c r="D620" i="3" s="1"/>
  <c r="U617" i="1"/>
  <c r="V617" i="1" s="1"/>
  <c r="D619" i="3" s="1"/>
  <c r="U616" i="1"/>
  <c r="V616" i="1" s="1"/>
  <c r="D618" i="3" s="1"/>
  <c r="U615" i="1"/>
  <c r="V615" i="1" s="1"/>
  <c r="D617" i="3" s="1"/>
  <c r="U614" i="1"/>
  <c r="V614" i="1" s="1"/>
  <c r="D616" i="3" s="1"/>
  <c r="U613" i="1"/>
  <c r="V613" i="1" s="1"/>
  <c r="D615" i="3" s="1"/>
  <c r="U612" i="1"/>
  <c r="V612" i="1" s="1"/>
  <c r="D614" i="3" s="1"/>
  <c r="U611" i="1"/>
  <c r="V611" i="1" s="1"/>
  <c r="D613" i="3" s="1"/>
  <c r="U610" i="1"/>
  <c r="V610" i="1" s="1"/>
  <c r="D612" i="3" s="1"/>
  <c r="U609" i="1"/>
  <c r="V609" i="1" s="1"/>
  <c r="D611" i="3" s="1"/>
  <c r="U608" i="1"/>
  <c r="V608" i="1" s="1"/>
  <c r="D610" i="3" s="1"/>
  <c r="U607" i="1"/>
  <c r="V607" i="1" s="1"/>
  <c r="D609" i="3" s="1"/>
  <c r="U606" i="1"/>
  <c r="V606" i="1" s="1"/>
  <c r="D608" i="3" s="1"/>
  <c r="U605" i="1"/>
  <c r="V605" i="1" s="1"/>
  <c r="D607" i="3" s="1"/>
  <c r="U604" i="1"/>
  <c r="V604" i="1" s="1"/>
  <c r="D606" i="3" s="1"/>
  <c r="U603" i="1"/>
  <c r="V603" i="1" s="1"/>
  <c r="D605" i="3" s="1"/>
  <c r="U602" i="1"/>
  <c r="V602" i="1" s="1"/>
  <c r="D604" i="3" s="1"/>
  <c r="U601" i="1"/>
  <c r="V601" i="1" s="1"/>
  <c r="D603" i="3" s="1"/>
  <c r="U600" i="1"/>
  <c r="V600" i="1" s="1"/>
  <c r="D602" i="3" s="1"/>
  <c r="U599" i="1"/>
  <c r="V599" i="1" s="1"/>
  <c r="D601" i="3" s="1"/>
  <c r="U598" i="1"/>
  <c r="V598" i="1" s="1"/>
  <c r="D600" i="3" s="1"/>
  <c r="U597" i="1"/>
  <c r="V597" i="1" s="1"/>
  <c r="D599" i="3" s="1"/>
  <c r="U596" i="1"/>
  <c r="V596" i="1" s="1"/>
  <c r="D598" i="3" s="1"/>
  <c r="U595" i="1"/>
  <c r="V595" i="1" s="1"/>
  <c r="D597" i="3" s="1"/>
  <c r="U594" i="1"/>
  <c r="V594" i="1" s="1"/>
  <c r="D596" i="3" s="1"/>
  <c r="U593" i="1"/>
  <c r="V593" i="1" s="1"/>
  <c r="D595" i="3" s="1"/>
  <c r="U592" i="1"/>
  <c r="V592" i="1" s="1"/>
  <c r="D594" i="3" s="1"/>
  <c r="U591" i="1"/>
  <c r="V591" i="1" s="1"/>
  <c r="D593" i="3" s="1"/>
  <c r="U590" i="1"/>
  <c r="V590" i="1" s="1"/>
  <c r="D592" i="3" s="1"/>
  <c r="U589" i="1"/>
  <c r="V589" i="1" s="1"/>
  <c r="D591" i="3" s="1"/>
  <c r="U588" i="1"/>
  <c r="V588" i="1" s="1"/>
  <c r="D590" i="3" s="1"/>
  <c r="U587" i="1"/>
  <c r="V587" i="1" s="1"/>
  <c r="D589" i="3" s="1"/>
  <c r="U586" i="1"/>
  <c r="V586" i="1" s="1"/>
  <c r="D588" i="3" s="1"/>
  <c r="U585" i="1"/>
  <c r="V585" i="1" s="1"/>
  <c r="D587" i="3" s="1"/>
  <c r="U584" i="1"/>
  <c r="V584" i="1" s="1"/>
  <c r="D586" i="3" s="1"/>
  <c r="U583" i="1"/>
  <c r="V583" i="1" s="1"/>
  <c r="D585" i="3" s="1"/>
  <c r="U582" i="1"/>
  <c r="V582" i="1" s="1"/>
  <c r="D584" i="3" s="1"/>
  <c r="U581" i="1"/>
  <c r="V581" i="1" s="1"/>
  <c r="D583" i="3" s="1"/>
  <c r="U580" i="1"/>
  <c r="V580" i="1" s="1"/>
  <c r="D582" i="3" s="1"/>
  <c r="U579" i="1"/>
  <c r="V579" i="1" s="1"/>
  <c r="D581" i="3" s="1"/>
  <c r="U578" i="1"/>
  <c r="V578" i="1" s="1"/>
  <c r="D580" i="3" s="1"/>
  <c r="U577" i="1"/>
  <c r="V577" i="1" s="1"/>
  <c r="D579" i="3" s="1"/>
  <c r="U576" i="1"/>
  <c r="V576" i="1" s="1"/>
  <c r="D578" i="3" s="1"/>
  <c r="U575" i="1"/>
  <c r="V575" i="1" s="1"/>
  <c r="D577" i="3" s="1"/>
  <c r="U574" i="1"/>
  <c r="V574" i="1" s="1"/>
  <c r="D576" i="3" s="1"/>
  <c r="U573" i="1"/>
  <c r="V573" i="1" s="1"/>
  <c r="D575" i="3" s="1"/>
  <c r="U572" i="1"/>
  <c r="V572" i="1" s="1"/>
  <c r="D574" i="3" s="1"/>
  <c r="U571" i="1"/>
  <c r="V571" i="1" s="1"/>
  <c r="D573" i="3" s="1"/>
  <c r="U570" i="1"/>
  <c r="V570" i="1" s="1"/>
  <c r="D572" i="3" s="1"/>
  <c r="U569" i="1"/>
  <c r="V569" i="1" s="1"/>
  <c r="D571" i="3" s="1"/>
  <c r="U568" i="1"/>
  <c r="V568" i="1" s="1"/>
  <c r="D570" i="3" s="1"/>
  <c r="U567" i="1"/>
  <c r="V567" i="1" s="1"/>
  <c r="D569" i="3" s="1"/>
  <c r="U566" i="1"/>
  <c r="V566" i="1" s="1"/>
  <c r="D568" i="3" s="1"/>
  <c r="U565" i="1"/>
  <c r="V565" i="1" s="1"/>
  <c r="D567" i="3" s="1"/>
  <c r="U564" i="1"/>
  <c r="V564" i="1" s="1"/>
  <c r="D566" i="3" s="1"/>
  <c r="U563" i="1"/>
  <c r="V563" i="1" s="1"/>
  <c r="D565" i="3" s="1"/>
  <c r="U562" i="1"/>
  <c r="V562" i="1" s="1"/>
  <c r="D564" i="3" s="1"/>
  <c r="U561" i="1"/>
  <c r="V561" i="1" s="1"/>
  <c r="D563" i="3" s="1"/>
  <c r="U560" i="1"/>
  <c r="V560" i="1" s="1"/>
  <c r="D562" i="3" s="1"/>
  <c r="U559" i="1"/>
  <c r="V559" i="1" s="1"/>
  <c r="D561" i="3" s="1"/>
  <c r="U558" i="1"/>
  <c r="V558" i="1" s="1"/>
  <c r="D560" i="3" s="1"/>
  <c r="U557" i="1"/>
  <c r="V557" i="1" s="1"/>
  <c r="D559" i="3" s="1"/>
  <c r="U556" i="1"/>
  <c r="V556" i="1" s="1"/>
  <c r="D558" i="3" s="1"/>
  <c r="U555" i="1"/>
  <c r="V555" i="1" s="1"/>
  <c r="D557" i="3" s="1"/>
  <c r="U554" i="1"/>
  <c r="V554" i="1" s="1"/>
  <c r="D556" i="3" s="1"/>
  <c r="U553" i="1"/>
  <c r="V553" i="1" s="1"/>
  <c r="D555" i="3" s="1"/>
  <c r="U552" i="1"/>
  <c r="V552" i="1" s="1"/>
  <c r="D554" i="3" s="1"/>
  <c r="U551" i="1"/>
  <c r="V551" i="1" s="1"/>
  <c r="D553" i="3" s="1"/>
  <c r="U550" i="1"/>
  <c r="V550" i="1" s="1"/>
  <c r="D552" i="3" s="1"/>
  <c r="U549" i="1"/>
  <c r="V549" i="1" s="1"/>
  <c r="D551" i="3" s="1"/>
  <c r="U548" i="1"/>
  <c r="V548" i="1" s="1"/>
  <c r="D550" i="3" s="1"/>
  <c r="U547" i="1"/>
  <c r="V547" i="1" s="1"/>
  <c r="D549" i="3" s="1"/>
  <c r="U546" i="1"/>
  <c r="V546" i="1" s="1"/>
  <c r="D548" i="3" s="1"/>
  <c r="U545" i="1"/>
  <c r="V545" i="1" s="1"/>
  <c r="D547" i="3" s="1"/>
  <c r="U544" i="1"/>
  <c r="V544" i="1" s="1"/>
  <c r="D546" i="3" s="1"/>
  <c r="U543" i="1"/>
  <c r="V543" i="1" s="1"/>
  <c r="D545" i="3" s="1"/>
  <c r="U542" i="1"/>
  <c r="V542" i="1" s="1"/>
  <c r="D544" i="3" s="1"/>
  <c r="U541" i="1"/>
  <c r="V541" i="1" s="1"/>
  <c r="D543" i="3" s="1"/>
  <c r="U540" i="1"/>
  <c r="V540" i="1" s="1"/>
  <c r="D542" i="3" s="1"/>
  <c r="U539" i="1"/>
  <c r="V539" i="1" s="1"/>
  <c r="D541" i="3" s="1"/>
  <c r="U538" i="1"/>
  <c r="V538" i="1" s="1"/>
  <c r="D540" i="3" s="1"/>
  <c r="U537" i="1"/>
  <c r="V537" i="1" s="1"/>
  <c r="D539" i="3" s="1"/>
  <c r="U536" i="1"/>
  <c r="V536" i="1" s="1"/>
  <c r="D538" i="3" s="1"/>
  <c r="U535" i="1"/>
  <c r="V535" i="1" s="1"/>
  <c r="D537" i="3" s="1"/>
  <c r="U534" i="1"/>
  <c r="V534" i="1" s="1"/>
  <c r="D536" i="3" s="1"/>
  <c r="U533" i="1"/>
  <c r="V533" i="1" s="1"/>
  <c r="D535" i="3" s="1"/>
  <c r="U532" i="1"/>
  <c r="V532" i="1" s="1"/>
  <c r="D534" i="3" s="1"/>
  <c r="U531" i="1"/>
  <c r="V531" i="1" s="1"/>
  <c r="D533" i="3" s="1"/>
  <c r="U530" i="1"/>
  <c r="V530" i="1" s="1"/>
  <c r="D532" i="3" s="1"/>
  <c r="U529" i="1"/>
  <c r="V529" i="1" s="1"/>
  <c r="D531" i="3" s="1"/>
  <c r="U528" i="1"/>
  <c r="V528" i="1" s="1"/>
  <c r="D530" i="3" s="1"/>
  <c r="U527" i="1"/>
  <c r="V527" i="1" s="1"/>
  <c r="D529" i="3" s="1"/>
  <c r="U526" i="1"/>
  <c r="V526" i="1" s="1"/>
  <c r="D528" i="3" s="1"/>
  <c r="U525" i="1"/>
  <c r="V525" i="1" s="1"/>
  <c r="D527" i="3" s="1"/>
  <c r="U524" i="1"/>
  <c r="V524" i="1" s="1"/>
  <c r="D526" i="3" s="1"/>
  <c r="U523" i="1"/>
  <c r="V523" i="1" s="1"/>
  <c r="D525" i="3" s="1"/>
  <c r="U522" i="1"/>
  <c r="V522" i="1" s="1"/>
  <c r="D524" i="3" s="1"/>
  <c r="U521" i="1"/>
  <c r="V521" i="1" s="1"/>
  <c r="D523" i="3" s="1"/>
  <c r="U520" i="1"/>
  <c r="V520" i="1" s="1"/>
  <c r="D522" i="3" s="1"/>
  <c r="U519" i="1"/>
  <c r="V519" i="1" s="1"/>
  <c r="D521" i="3" s="1"/>
  <c r="U518" i="1"/>
  <c r="V518" i="1" s="1"/>
  <c r="D520" i="3" s="1"/>
  <c r="U517" i="1"/>
  <c r="V517" i="1" s="1"/>
  <c r="D519" i="3" s="1"/>
  <c r="U516" i="1"/>
  <c r="V516" i="1" s="1"/>
  <c r="D518" i="3" s="1"/>
  <c r="U515" i="1"/>
  <c r="V515" i="1" s="1"/>
  <c r="D517" i="3" s="1"/>
  <c r="U514" i="1"/>
  <c r="V514" i="1" s="1"/>
  <c r="D516" i="3" s="1"/>
  <c r="U513" i="1"/>
  <c r="V513" i="1" s="1"/>
  <c r="D515" i="3" s="1"/>
  <c r="U512" i="1"/>
  <c r="V512" i="1" s="1"/>
  <c r="D514" i="3" s="1"/>
  <c r="U511" i="1"/>
  <c r="V511" i="1" s="1"/>
  <c r="D513" i="3" s="1"/>
  <c r="U510" i="1"/>
  <c r="V510" i="1" s="1"/>
  <c r="D512" i="3" s="1"/>
  <c r="U509" i="1"/>
  <c r="V509" i="1" s="1"/>
  <c r="D511" i="3" s="1"/>
  <c r="U508" i="1"/>
  <c r="V508" i="1" s="1"/>
  <c r="D510" i="3" s="1"/>
  <c r="U507" i="1"/>
  <c r="V507" i="1" s="1"/>
  <c r="D509" i="3" s="1"/>
  <c r="U506" i="1"/>
  <c r="V506" i="1" s="1"/>
  <c r="D508" i="3" s="1"/>
  <c r="U505" i="1"/>
  <c r="V505" i="1" s="1"/>
  <c r="D507" i="3" s="1"/>
  <c r="U504" i="1"/>
  <c r="V504" i="1" s="1"/>
  <c r="D506" i="3" s="1"/>
  <c r="U503" i="1"/>
  <c r="V503" i="1" s="1"/>
  <c r="D505" i="3" s="1"/>
  <c r="U502" i="1"/>
  <c r="V502" i="1" s="1"/>
  <c r="D504" i="3" s="1"/>
  <c r="U501" i="1"/>
  <c r="V501" i="1" s="1"/>
  <c r="D503" i="3" s="1"/>
  <c r="U500" i="1"/>
  <c r="V500" i="1" s="1"/>
  <c r="D502" i="3" s="1"/>
  <c r="U499" i="1"/>
  <c r="V499" i="1" s="1"/>
  <c r="D501" i="3" s="1"/>
  <c r="U498" i="1"/>
  <c r="V498" i="1" s="1"/>
  <c r="D500" i="3" s="1"/>
  <c r="U497" i="1"/>
  <c r="V497" i="1" s="1"/>
  <c r="D499" i="3" s="1"/>
  <c r="U496" i="1"/>
  <c r="V496" i="1" s="1"/>
  <c r="D498" i="3" s="1"/>
  <c r="U495" i="1"/>
  <c r="V495" i="1" s="1"/>
  <c r="D497" i="3" s="1"/>
  <c r="U494" i="1"/>
  <c r="V494" i="1" s="1"/>
  <c r="D496" i="3" s="1"/>
  <c r="U493" i="1"/>
  <c r="V493" i="1" s="1"/>
  <c r="D495" i="3" s="1"/>
  <c r="U492" i="1"/>
  <c r="V492" i="1" s="1"/>
  <c r="D494" i="3" s="1"/>
  <c r="U491" i="1"/>
  <c r="V491" i="1" s="1"/>
  <c r="D493" i="3" s="1"/>
  <c r="U490" i="1"/>
  <c r="V490" i="1" s="1"/>
  <c r="D492" i="3" s="1"/>
  <c r="U489" i="1"/>
  <c r="V489" i="1" s="1"/>
  <c r="D491" i="3" s="1"/>
  <c r="U488" i="1"/>
  <c r="V488" i="1" s="1"/>
  <c r="D490" i="3" s="1"/>
  <c r="U487" i="1"/>
  <c r="V487" i="1" s="1"/>
  <c r="D489" i="3" s="1"/>
  <c r="U486" i="1"/>
  <c r="V486" i="1" s="1"/>
  <c r="D488" i="3" s="1"/>
  <c r="U485" i="1"/>
  <c r="V485" i="1" s="1"/>
  <c r="D487" i="3" s="1"/>
  <c r="U484" i="1"/>
  <c r="V484" i="1" s="1"/>
  <c r="D486" i="3" s="1"/>
  <c r="U483" i="1"/>
  <c r="V483" i="1" s="1"/>
  <c r="D485" i="3" s="1"/>
  <c r="U482" i="1"/>
  <c r="V482" i="1" s="1"/>
  <c r="D484" i="3" s="1"/>
  <c r="U481" i="1"/>
  <c r="V481" i="1" s="1"/>
  <c r="D483" i="3" s="1"/>
  <c r="U480" i="1"/>
  <c r="V480" i="1" s="1"/>
  <c r="D482" i="3" s="1"/>
  <c r="U479" i="1"/>
  <c r="V479" i="1" s="1"/>
  <c r="D481" i="3" s="1"/>
  <c r="U478" i="1"/>
  <c r="V478" i="1" s="1"/>
  <c r="D480" i="3" s="1"/>
  <c r="U477" i="1"/>
  <c r="V477" i="1" s="1"/>
  <c r="D479" i="3" s="1"/>
  <c r="U476" i="1"/>
  <c r="V476" i="1" s="1"/>
  <c r="D478" i="3" s="1"/>
  <c r="U475" i="1"/>
  <c r="V475" i="1" s="1"/>
  <c r="D477" i="3" s="1"/>
  <c r="U474" i="1"/>
  <c r="V474" i="1" s="1"/>
  <c r="D476" i="3" s="1"/>
  <c r="U473" i="1"/>
  <c r="V473" i="1" s="1"/>
  <c r="D475" i="3" s="1"/>
  <c r="U472" i="1"/>
  <c r="V472" i="1" s="1"/>
  <c r="D474" i="3" s="1"/>
  <c r="U471" i="1"/>
  <c r="V471" i="1" s="1"/>
  <c r="D473" i="3" s="1"/>
  <c r="U470" i="1"/>
  <c r="V470" i="1" s="1"/>
  <c r="D472" i="3" s="1"/>
  <c r="U469" i="1"/>
  <c r="V469" i="1" s="1"/>
  <c r="D471" i="3" s="1"/>
  <c r="U468" i="1"/>
  <c r="V468" i="1" s="1"/>
  <c r="D470" i="3" s="1"/>
  <c r="U467" i="1"/>
  <c r="V467" i="1" s="1"/>
  <c r="D469" i="3" s="1"/>
  <c r="U466" i="1"/>
  <c r="V466" i="1" s="1"/>
  <c r="D468" i="3" s="1"/>
  <c r="U465" i="1"/>
  <c r="V465" i="1" s="1"/>
  <c r="D467" i="3" s="1"/>
  <c r="U464" i="1"/>
  <c r="V464" i="1" s="1"/>
  <c r="D466" i="3" s="1"/>
  <c r="U463" i="1"/>
  <c r="V463" i="1" s="1"/>
  <c r="D465" i="3" s="1"/>
  <c r="U462" i="1"/>
  <c r="V462" i="1" s="1"/>
  <c r="D464" i="3" s="1"/>
  <c r="U461" i="1"/>
  <c r="V461" i="1" s="1"/>
  <c r="D463" i="3" s="1"/>
  <c r="U460" i="1"/>
  <c r="V460" i="1" s="1"/>
  <c r="D462" i="3" s="1"/>
  <c r="U459" i="1"/>
  <c r="V459" i="1" s="1"/>
  <c r="D461" i="3" s="1"/>
  <c r="U458" i="1"/>
  <c r="V458" i="1" s="1"/>
  <c r="D460" i="3" s="1"/>
  <c r="U457" i="1"/>
  <c r="V457" i="1" s="1"/>
  <c r="D459" i="3" s="1"/>
  <c r="U456" i="1"/>
  <c r="V456" i="1" s="1"/>
  <c r="D458" i="3" s="1"/>
  <c r="U455" i="1"/>
  <c r="V455" i="1" s="1"/>
  <c r="D457" i="3" s="1"/>
  <c r="U454" i="1"/>
  <c r="V454" i="1" s="1"/>
  <c r="D456" i="3" s="1"/>
  <c r="U453" i="1"/>
  <c r="V453" i="1" s="1"/>
  <c r="D455" i="3" s="1"/>
  <c r="U452" i="1"/>
  <c r="V452" i="1" s="1"/>
  <c r="D454" i="3" s="1"/>
  <c r="U451" i="1"/>
  <c r="V451" i="1" s="1"/>
  <c r="D453" i="3" s="1"/>
  <c r="U450" i="1"/>
  <c r="V450" i="1" s="1"/>
  <c r="D452" i="3" s="1"/>
  <c r="U449" i="1"/>
  <c r="V449" i="1" s="1"/>
  <c r="D451" i="3" s="1"/>
  <c r="U448" i="1"/>
  <c r="V448" i="1" s="1"/>
  <c r="D450" i="3" s="1"/>
  <c r="U447" i="1"/>
  <c r="V447" i="1" s="1"/>
  <c r="D449" i="3" s="1"/>
  <c r="U446" i="1"/>
  <c r="V446" i="1" s="1"/>
  <c r="D448" i="3" s="1"/>
  <c r="U445" i="1"/>
  <c r="V445" i="1" s="1"/>
  <c r="D447" i="3" s="1"/>
  <c r="U444" i="1"/>
  <c r="V444" i="1" s="1"/>
  <c r="D446" i="3" s="1"/>
  <c r="U443" i="1"/>
  <c r="V443" i="1" s="1"/>
  <c r="D445" i="3" s="1"/>
  <c r="U442" i="1"/>
  <c r="V442" i="1" s="1"/>
  <c r="D444" i="3" s="1"/>
  <c r="U441" i="1"/>
  <c r="V441" i="1" s="1"/>
  <c r="D443" i="3" s="1"/>
  <c r="U440" i="1"/>
  <c r="V440" i="1" s="1"/>
  <c r="D442" i="3" s="1"/>
  <c r="U439" i="1"/>
  <c r="V439" i="1" s="1"/>
  <c r="D441" i="3" s="1"/>
  <c r="U438" i="1"/>
  <c r="V438" i="1" s="1"/>
  <c r="D440" i="3" s="1"/>
  <c r="U437" i="1"/>
  <c r="V437" i="1" s="1"/>
  <c r="D439" i="3" s="1"/>
  <c r="U436" i="1"/>
  <c r="V436" i="1" s="1"/>
  <c r="D438" i="3" s="1"/>
  <c r="U435" i="1"/>
  <c r="V435" i="1" s="1"/>
  <c r="D437" i="3" s="1"/>
  <c r="U434" i="1"/>
  <c r="V434" i="1" s="1"/>
  <c r="D436" i="3" s="1"/>
  <c r="U433" i="1"/>
  <c r="V433" i="1" s="1"/>
  <c r="D435" i="3" s="1"/>
  <c r="U432" i="1"/>
  <c r="V432" i="1" s="1"/>
  <c r="D434" i="3" s="1"/>
  <c r="U431" i="1"/>
  <c r="V431" i="1" s="1"/>
  <c r="D433" i="3" s="1"/>
  <c r="U430" i="1"/>
  <c r="V430" i="1" s="1"/>
  <c r="D432" i="3" s="1"/>
  <c r="U429" i="1"/>
  <c r="V429" i="1" s="1"/>
  <c r="D431" i="3" s="1"/>
  <c r="U428" i="1"/>
  <c r="V428" i="1" s="1"/>
  <c r="D430" i="3" s="1"/>
  <c r="U427" i="1"/>
  <c r="V427" i="1" s="1"/>
  <c r="D429" i="3" s="1"/>
  <c r="U426" i="1"/>
  <c r="V426" i="1" s="1"/>
  <c r="D428" i="3" s="1"/>
  <c r="U425" i="1"/>
  <c r="V425" i="1" s="1"/>
  <c r="D427" i="3" s="1"/>
  <c r="U424" i="1"/>
  <c r="V424" i="1" s="1"/>
  <c r="D426" i="3" s="1"/>
  <c r="U423" i="1"/>
  <c r="V423" i="1" s="1"/>
  <c r="D425" i="3" s="1"/>
  <c r="U422" i="1"/>
  <c r="V422" i="1" s="1"/>
  <c r="D424" i="3" s="1"/>
  <c r="U421" i="1"/>
  <c r="V421" i="1" s="1"/>
  <c r="D423" i="3" s="1"/>
  <c r="U420" i="1"/>
  <c r="V420" i="1" s="1"/>
  <c r="D422" i="3" s="1"/>
  <c r="U419" i="1"/>
  <c r="V419" i="1" s="1"/>
  <c r="D421" i="3" s="1"/>
  <c r="U418" i="1"/>
  <c r="V418" i="1" s="1"/>
  <c r="D420" i="3" s="1"/>
  <c r="U417" i="1"/>
  <c r="V417" i="1" s="1"/>
  <c r="D419" i="3" s="1"/>
  <c r="U416" i="1"/>
  <c r="V416" i="1" s="1"/>
  <c r="D418" i="3" s="1"/>
  <c r="U415" i="1"/>
  <c r="V415" i="1" s="1"/>
  <c r="D417" i="3" s="1"/>
  <c r="U414" i="1"/>
  <c r="V414" i="1" s="1"/>
  <c r="D416" i="3" s="1"/>
  <c r="U413" i="1"/>
  <c r="V413" i="1" s="1"/>
  <c r="D415" i="3" s="1"/>
  <c r="U412" i="1"/>
  <c r="V412" i="1" s="1"/>
  <c r="D414" i="3" s="1"/>
  <c r="U411" i="1"/>
  <c r="V411" i="1" s="1"/>
  <c r="D413" i="3" s="1"/>
  <c r="U410" i="1"/>
  <c r="V410" i="1" s="1"/>
  <c r="D412" i="3" s="1"/>
  <c r="U409" i="1"/>
  <c r="V409" i="1" s="1"/>
  <c r="D411" i="3" s="1"/>
  <c r="U408" i="1"/>
  <c r="V408" i="1" s="1"/>
  <c r="D410" i="3" s="1"/>
  <c r="U407" i="1"/>
  <c r="V407" i="1" s="1"/>
  <c r="D409" i="3" s="1"/>
  <c r="U406" i="1"/>
  <c r="V406" i="1" s="1"/>
  <c r="D408" i="3" s="1"/>
  <c r="U405" i="1"/>
  <c r="V405" i="1" s="1"/>
  <c r="D407" i="3" s="1"/>
  <c r="U404" i="1"/>
  <c r="V404" i="1" s="1"/>
  <c r="D406" i="3" s="1"/>
  <c r="U403" i="1"/>
  <c r="V403" i="1" s="1"/>
  <c r="D405" i="3" s="1"/>
  <c r="U402" i="1"/>
  <c r="V402" i="1" s="1"/>
  <c r="D404" i="3" s="1"/>
  <c r="U401" i="1"/>
  <c r="V401" i="1" s="1"/>
  <c r="D403" i="3" s="1"/>
  <c r="U400" i="1"/>
  <c r="V400" i="1" s="1"/>
  <c r="D402" i="3" s="1"/>
  <c r="U399" i="1"/>
  <c r="V399" i="1" s="1"/>
  <c r="D401" i="3" s="1"/>
  <c r="U398" i="1"/>
  <c r="V398" i="1" s="1"/>
  <c r="D400" i="3" s="1"/>
  <c r="U397" i="1"/>
  <c r="V397" i="1" s="1"/>
  <c r="D399" i="3" s="1"/>
  <c r="U396" i="1"/>
  <c r="V396" i="1" s="1"/>
  <c r="D398" i="3" s="1"/>
  <c r="U395" i="1"/>
  <c r="V395" i="1" s="1"/>
  <c r="D397" i="3" s="1"/>
  <c r="U394" i="1"/>
  <c r="V394" i="1" s="1"/>
  <c r="D396" i="3" s="1"/>
  <c r="U393" i="1"/>
  <c r="V393" i="1" s="1"/>
  <c r="D395" i="3" s="1"/>
  <c r="U392" i="1"/>
  <c r="V392" i="1" s="1"/>
  <c r="D394" i="3" s="1"/>
  <c r="U391" i="1"/>
  <c r="V391" i="1" s="1"/>
  <c r="D393" i="3" s="1"/>
  <c r="U390" i="1"/>
  <c r="V390" i="1" s="1"/>
  <c r="D392" i="3" s="1"/>
  <c r="U389" i="1"/>
  <c r="V389" i="1" s="1"/>
  <c r="D391" i="3" s="1"/>
  <c r="U388" i="1"/>
  <c r="V388" i="1" s="1"/>
  <c r="D390" i="3" s="1"/>
  <c r="U387" i="1"/>
  <c r="V387" i="1" s="1"/>
  <c r="D389" i="3" s="1"/>
  <c r="U386" i="1"/>
  <c r="V386" i="1" s="1"/>
  <c r="D388" i="3" s="1"/>
  <c r="U385" i="1"/>
  <c r="V385" i="1" s="1"/>
  <c r="D387" i="3" s="1"/>
  <c r="U384" i="1"/>
  <c r="V384" i="1" s="1"/>
  <c r="D386" i="3" s="1"/>
  <c r="U383" i="1"/>
  <c r="V383" i="1" s="1"/>
  <c r="D385" i="3" s="1"/>
  <c r="U382" i="1"/>
  <c r="V382" i="1" s="1"/>
  <c r="D384" i="3" s="1"/>
  <c r="U381" i="1"/>
  <c r="V381" i="1" s="1"/>
  <c r="D383" i="3" s="1"/>
  <c r="U380" i="1"/>
  <c r="V380" i="1" s="1"/>
  <c r="D382" i="3" s="1"/>
  <c r="U379" i="1"/>
  <c r="V379" i="1" s="1"/>
  <c r="D381" i="3" s="1"/>
  <c r="U378" i="1"/>
  <c r="V378" i="1" s="1"/>
  <c r="D380" i="3" s="1"/>
  <c r="U377" i="1"/>
  <c r="V377" i="1" s="1"/>
  <c r="D379" i="3" s="1"/>
  <c r="U376" i="1"/>
  <c r="V376" i="1" s="1"/>
  <c r="D378" i="3" s="1"/>
  <c r="U375" i="1"/>
  <c r="V375" i="1" s="1"/>
  <c r="D377" i="3" s="1"/>
  <c r="U374" i="1"/>
  <c r="V374" i="1" s="1"/>
  <c r="D376" i="3" s="1"/>
  <c r="U373" i="1"/>
  <c r="V373" i="1" s="1"/>
  <c r="D375" i="3" s="1"/>
  <c r="U372" i="1"/>
  <c r="V372" i="1" s="1"/>
  <c r="D374" i="3" s="1"/>
  <c r="U371" i="1"/>
  <c r="V371" i="1" s="1"/>
  <c r="D373" i="3" s="1"/>
  <c r="U370" i="1"/>
  <c r="V370" i="1" s="1"/>
  <c r="D372" i="3" s="1"/>
  <c r="U369" i="1"/>
  <c r="V369" i="1" s="1"/>
  <c r="D371" i="3" s="1"/>
  <c r="U368" i="1"/>
  <c r="V368" i="1" s="1"/>
  <c r="D370" i="3" s="1"/>
  <c r="U367" i="1"/>
  <c r="V367" i="1" s="1"/>
  <c r="D369" i="3" s="1"/>
  <c r="U366" i="1"/>
  <c r="V366" i="1" s="1"/>
  <c r="D368" i="3" s="1"/>
  <c r="U365" i="1"/>
  <c r="V365" i="1" s="1"/>
  <c r="D367" i="3" s="1"/>
  <c r="U364" i="1"/>
  <c r="V364" i="1" s="1"/>
  <c r="D366" i="3" s="1"/>
  <c r="U363" i="1"/>
  <c r="V363" i="1" s="1"/>
  <c r="D365" i="3" s="1"/>
  <c r="U362" i="1"/>
  <c r="V362" i="1" s="1"/>
  <c r="D364" i="3" s="1"/>
  <c r="U361" i="1"/>
  <c r="V361" i="1" s="1"/>
  <c r="D363" i="3" s="1"/>
  <c r="U360" i="1"/>
  <c r="V360" i="1" s="1"/>
  <c r="D362" i="3" s="1"/>
  <c r="U359" i="1"/>
  <c r="V359" i="1" s="1"/>
  <c r="D361" i="3" s="1"/>
  <c r="U358" i="1"/>
  <c r="V358" i="1" s="1"/>
  <c r="D360" i="3" s="1"/>
  <c r="U357" i="1"/>
  <c r="V357" i="1" s="1"/>
  <c r="D359" i="3" s="1"/>
  <c r="U356" i="1"/>
  <c r="V356" i="1" s="1"/>
  <c r="D358" i="3" s="1"/>
  <c r="U355" i="1"/>
  <c r="V355" i="1" s="1"/>
  <c r="D357" i="3" s="1"/>
  <c r="U354" i="1"/>
  <c r="V354" i="1" s="1"/>
  <c r="D356" i="3" s="1"/>
  <c r="U353" i="1"/>
  <c r="V353" i="1" s="1"/>
  <c r="D355" i="3" s="1"/>
  <c r="U352" i="1"/>
  <c r="V352" i="1" s="1"/>
  <c r="D354" i="3" s="1"/>
  <c r="U351" i="1"/>
  <c r="V351" i="1" s="1"/>
  <c r="D353" i="3" s="1"/>
  <c r="U350" i="1"/>
  <c r="V350" i="1" s="1"/>
  <c r="D352" i="3" s="1"/>
  <c r="U349" i="1"/>
  <c r="V349" i="1" s="1"/>
  <c r="D351" i="3" s="1"/>
  <c r="U348" i="1"/>
  <c r="V348" i="1" s="1"/>
  <c r="D350" i="3" s="1"/>
  <c r="U347" i="1"/>
  <c r="V347" i="1" s="1"/>
  <c r="D349" i="3" s="1"/>
  <c r="U346" i="1"/>
  <c r="V346" i="1" s="1"/>
  <c r="D348" i="3" s="1"/>
  <c r="U345" i="1"/>
  <c r="V345" i="1" s="1"/>
  <c r="D347" i="3" s="1"/>
  <c r="U344" i="1"/>
  <c r="V344" i="1" s="1"/>
  <c r="D346" i="3" s="1"/>
  <c r="U343" i="1"/>
  <c r="V343" i="1" s="1"/>
  <c r="D345" i="3" s="1"/>
  <c r="U342" i="1"/>
  <c r="V342" i="1" s="1"/>
  <c r="D344" i="3" s="1"/>
  <c r="U341" i="1"/>
  <c r="V341" i="1" s="1"/>
  <c r="D343" i="3" s="1"/>
  <c r="U340" i="1"/>
  <c r="V340" i="1" s="1"/>
  <c r="D342" i="3" s="1"/>
  <c r="U339" i="1"/>
  <c r="V339" i="1" s="1"/>
  <c r="D341" i="3" s="1"/>
  <c r="U338" i="1"/>
  <c r="V338" i="1" s="1"/>
  <c r="D340" i="3" s="1"/>
  <c r="U337" i="1"/>
  <c r="V337" i="1" s="1"/>
  <c r="D339" i="3" s="1"/>
  <c r="U336" i="1"/>
  <c r="V336" i="1" s="1"/>
  <c r="D338" i="3" s="1"/>
  <c r="U335" i="1"/>
  <c r="V335" i="1" s="1"/>
  <c r="D337" i="3" s="1"/>
  <c r="U334" i="1"/>
  <c r="V334" i="1" s="1"/>
  <c r="D336" i="3" s="1"/>
  <c r="U333" i="1"/>
  <c r="V333" i="1" s="1"/>
  <c r="D335" i="3" s="1"/>
  <c r="U332" i="1"/>
  <c r="V332" i="1" s="1"/>
  <c r="D334" i="3" s="1"/>
  <c r="U331" i="1"/>
  <c r="V331" i="1" s="1"/>
  <c r="D333" i="3" s="1"/>
  <c r="U330" i="1"/>
  <c r="V330" i="1" s="1"/>
  <c r="D332" i="3" s="1"/>
  <c r="U329" i="1"/>
  <c r="V329" i="1" s="1"/>
  <c r="D331" i="3" s="1"/>
  <c r="U328" i="1"/>
  <c r="V328" i="1" s="1"/>
  <c r="D330" i="3" s="1"/>
  <c r="U327" i="1"/>
  <c r="V327" i="1" s="1"/>
  <c r="D329" i="3" s="1"/>
  <c r="U326" i="1"/>
  <c r="V326" i="1" s="1"/>
  <c r="D328" i="3" s="1"/>
  <c r="U325" i="1"/>
  <c r="V325" i="1" s="1"/>
  <c r="D327" i="3" s="1"/>
  <c r="U324" i="1"/>
  <c r="V324" i="1" s="1"/>
  <c r="D326" i="3" s="1"/>
  <c r="U323" i="1"/>
  <c r="V323" i="1" s="1"/>
  <c r="D325" i="3" s="1"/>
  <c r="U322" i="1"/>
  <c r="V322" i="1" s="1"/>
  <c r="D324" i="3" s="1"/>
  <c r="U321" i="1"/>
  <c r="V321" i="1" s="1"/>
  <c r="D323" i="3" s="1"/>
  <c r="U320" i="1"/>
  <c r="V320" i="1" s="1"/>
  <c r="D322" i="3" s="1"/>
  <c r="U319" i="1"/>
  <c r="V319" i="1" s="1"/>
  <c r="D321" i="3" s="1"/>
  <c r="U318" i="1"/>
  <c r="V318" i="1" s="1"/>
  <c r="D320" i="3" s="1"/>
  <c r="U317" i="1"/>
  <c r="V317" i="1" s="1"/>
  <c r="D319" i="3" s="1"/>
  <c r="U316" i="1"/>
  <c r="V316" i="1" s="1"/>
  <c r="D318" i="3" s="1"/>
  <c r="U315" i="1"/>
  <c r="V315" i="1" s="1"/>
  <c r="D317" i="3" s="1"/>
  <c r="U314" i="1"/>
  <c r="V314" i="1" s="1"/>
  <c r="D316" i="3" s="1"/>
  <c r="U313" i="1"/>
  <c r="V313" i="1" s="1"/>
  <c r="D315" i="3" s="1"/>
  <c r="U312" i="1"/>
  <c r="V312" i="1" s="1"/>
  <c r="D314" i="3" s="1"/>
  <c r="U311" i="1"/>
  <c r="V311" i="1" s="1"/>
  <c r="D313" i="3" s="1"/>
  <c r="U310" i="1"/>
  <c r="V310" i="1" s="1"/>
  <c r="D312" i="3" s="1"/>
  <c r="U309" i="1"/>
  <c r="V309" i="1" s="1"/>
  <c r="D311" i="3" s="1"/>
  <c r="U308" i="1"/>
  <c r="V308" i="1" s="1"/>
  <c r="D310" i="3" s="1"/>
  <c r="U307" i="1"/>
  <c r="V307" i="1" s="1"/>
  <c r="D309" i="3" s="1"/>
  <c r="U306" i="1"/>
  <c r="V306" i="1" s="1"/>
  <c r="D308" i="3" s="1"/>
  <c r="U305" i="1"/>
  <c r="V305" i="1" s="1"/>
  <c r="D307" i="3" s="1"/>
  <c r="U304" i="1"/>
  <c r="V304" i="1" s="1"/>
  <c r="D306" i="3" s="1"/>
  <c r="U303" i="1"/>
  <c r="V303" i="1" s="1"/>
  <c r="D305" i="3" s="1"/>
  <c r="U302" i="1"/>
  <c r="V302" i="1" s="1"/>
  <c r="D304" i="3" s="1"/>
  <c r="U301" i="1"/>
  <c r="V301" i="1" s="1"/>
  <c r="D303" i="3" s="1"/>
  <c r="U300" i="1"/>
  <c r="V300" i="1" s="1"/>
  <c r="D302" i="3" s="1"/>
  <c r="U299" i="1"/>
  <c r="V299" i="1" s="1"/>
  <c r="D301" i="3" s="1"/>
  <c r="U298" i="1"/>
  <c r="V298" i="1" s="1"/>
  <c r="D300" i="3" s="1"/>
  <c r="U297" i="1"/>
  <c r="V297" i="1" s="1"/>
  <c r="D299" i="3" s="1"/>
  <c r="U296" i="1"/>
  <c r="V296" i="1" s="1"/>
  <c r="D298" i="3" s="1"/>
  <c r="U295" i="1"/>
  <c r="V295" i="1" s="1"/>
  <c r="D297" i="3" s="1"/>
  <c r="U294" i="1"/>
  <c r="V294" i="1" s="1"/>
  <c r="D296" i="3" s="1"/>
  <c r="U293" i="1"/>
  <c r="V293" i="1" s="1"/>
  <c r="D295" i="3" s="1"/>
  <c r="U292" i="1"/>
  <c r="V292" i="1" s="1"/>
  <c r="D294" i="3" s="1"/>
  <c r="U291" i="1"/>
  <c r="V291" i="1" s="1"/>
  <c r="D293" i="3" s="1"/>
  <c r="U290" i="1"/>
  <c r="V290" i="1" s="1"/>
  <c r="D292" i="3" s="1"/>
  <c r="U289" i="1"/>
  <c r="V289" i="1" s="1"/>
  <c r="D291" i="3" s="1"/>
  <c r="U288" i="1"/>
  <c r="V288" i="1" s="1"/>
  <c r="D290" i="3" s="1"/>
  <c r="U287" i="1"/>
  <c r="V287" i="1" s="1"/>
  <c r="D289" i="3" s="1"/>
  <c r="U286" i="1"/>
  <c r="V286" i="1" s="1"/>
  <c r="D288" i="3" s="1"/>
  <c r="U285" i="1"/>
  <c r="V285" i="1" s="1"/>
  <c r="D287" i="3" s="1"/>
  <c r="U284" i="1"/>
  <c r="V284" i="1" s="1"/>
  <c r="D286" i="3" s="1"/>
  <c r="U283" i="1"/>
  <c r="V283" i="1" s="1"/>
  <c r="D285" i="3" s="1"/>
  <c r="U282" i="1"/>
  <c r="V282" i="1" s="1"/>
  <c r="D284" i="3" s="1"/>
  <c r="U281" i="1"/>
  <c r="V281" i="1" s="1"/>
  <c r="D283" i="3" s="1"/>
  <c r="U280" i="1"/>
  <c r="V280" i="1" s="1"/>
  <c r="D282" i="3" s="1"/>
  <c r="U279" i="1"/>
  <c r="V279" i="1" s="1"/>
  <c r="D281" i="3" s="1"/>
  <c r="U278" i="1"/>
  <c r="V278" i="1" s="1"/>
  <c r="D280" i="3" s="1"/>
  <c r="U277" i="1"/>
  <c r="V277" i="1" s="1"/>
  <c r="D279" i="3" s="1"/>
  <c r="U276" i="1"/>
  <c r="V276" i="1" s="1"/>
  <c r="D278" i="3" s="1"/>
  <c r="U275" i="1"/>
  <c r="V275" i="1" s="1"/>
  <c r="D277" i="3" s="1"/>
  <c r="U274" i="1"/>
  <c r="V274" i="1" s="1"/>
  <c r="D276" i="3" s="1"/>
  <c r="U273" i="1"/>
  <c r="V273" i="1" s="1"/>
  <c r="D275" i="3" s="1"/>
  <c r="U272" i="1"/>
  <c r="V272" i="1" s="1"/>
  <c r="D274" i="3" s="1"/>
  <c r="U271" i="1"/>
  <c r="V271" i="1" s="1"/>
  <c r="D273" i="3" s="1"/>
  <c r="U270" i="1"/>
  <c r="V270" i="1" s="1"/>
  <c r="D272" i="3" s="1"/>
  <c r="U269" i="1"/>
  <c r="V269" i="1" s="1"/>
  <c r="D271" i="3" s="1"/>
  <c r="U268" i="1"/>
  <c r="V268" i="1" s="1"/>
  <c r="D270" i="3" s="1"/>
  <c r="U267" i="1"/>
  <c r="V267" i="1" s="1"/>
  <c r="D269" i="3" s="1"/>
  <c r="U266" i="1"/>
  <c r="V266" i="1" s="1"/>
  <c r="D268" i="3" s="1"/>
  <c r="U265" i="1"/>
  <c r="V265" i="1" s="1"/>
  <c r="D267" i="3" s="1"/>
  <c r="U264" i="1"/>
  <c r="V264" i="1" s="1"/>
  <c r="D266" i="3" s="1"/>
  <c r="U263" i="1"/>
  <c r="V263" i="1" s="1"/>
  <c r="D265" i="3" s="1"/>
  <c r="U262" i="1"/>
  <c r="V262" i="1" s="1"/>
  <c r="D264" i="3" s="1"/>
  <c r="U261" i="1"/>
  <c r="V261" i="1" s="1"/>
  <c r="D263" i="3" s="1"/>
  <c r="U260" i="1"/>
  <c r="V260" i="1" s="1"/>
  <c r="D262" i="3" s="1"/>
  <c r="U259" i="1"/>
  <c r="V259" i="1" s="1"/>
  <c r="D261" i="3" s="1"/>
  <c r="U258" i="1"/>
  <c r="V258" i="1" s="1"/>
  <c r="D260" i="3" s="1"/>
  <c r="U257" i="1"/>
  <c r="V257" i="1" s="1"/>
  <c r="D259" i="3" s="1"/>
  <c r="U256" i="1"/>
  <c r="V256" i="1" s="1"/>
  <c r="D258" i="3" s="1"/>
  <c r="U255" i="1"/>
  <c r="V255" i="1" s="1"/>
  <c r="D257" i="3" s="1"/>
  <c r="U254" i="1"/>
  <c r="V254" i="1" s="1"/>
  <c r="D256" i="3" s="1"/>
  <c r="U253" i="1"/>
  <c r="V253" i="1" s="1"/>
  <c r="D255" i="3" s="1"/>
  <c r="U252" i="1"/>
  <c r="V252" i="1" s="1"/>
  <c r="D254" i="3" s="1"/>
  <c r="U251" i="1"/>
  <c r="V251" i="1" s="1"/>
  <c r="D253" i="3" s="1"/>
  <c r="U250" i="1"/>
  <c r="V250" i="1" s="1"/>
  <c r="D252" i="3" s="1"/>
  <c r="U249" i="1"/>
  <c r="V249" i="1" s="1"/>
  <c r="D251" i="3" s="1"/>
  <c r="U248" i="1"/>
  <c r="V248" i="1" s="1"/>
  <c r="D250" i="3" s="1"/>
  <c r="U247" i="1"/>
  <c r="V247" i="1" s="1"/>
  <c r="D249" i="3" s="1"/>
  <c r="U246" i="1"/>
  <c r="V246" i="1" s="1"/>
  <c r="D248" i="3" s="1"/>
  <c r="U245" i="1"/>
  <c r="V245" i="1" s="1"/>
  <c r="D247" i="3" s="1"/>
  <c r="U244" i="1"/>
  <c r="V244" i="1" s="1"/>
  <c r="D246" i="3" s="1"/>
  <c r="U243" i="1"/>
  <c r="V243" i="1" s="1"/>
  <c r="D245" i="3" s="1"/>
  <c r="U242" i="1"/>
  <c r="V242" i="1" s="1"/>
  <c r="D244" i="3" s="1"/>
  <c r="U241" i="1"/>
  <c r="V241" i="1" s="1"/>
  <c r="D243" i="3" s="1"/>
  <c r="U240" i="1"/>
  <c r="V240" i="1" s="1"/>
  <c r="D242" i="3" s="1"/>
  <c r="U239" i="1"/>
  <c r="V239" i="1" s="1"/>
  <c r="D241" i="3" s="1"/>
  <c r="U238" i="1"/>
  <c r="V238" i="1" s="1"/>
  <c r="D240" i="3" s="1"/>
  <c r="U237" i="1"/>
  <c r="V237" i="1" s="1"/>
  <c r="D239" i="3" s="1"/>
  <c r="U236" i="1"/>
  <c r="V236" i="1" s="1"/>
  <c r="D238" i="3" s="1"/>
  <c r="U235" i="1"/>
  <c r="V235" i="1" s="1"/>
  <c r="D237" i="3" s="1"/>
  <c r="U234" i="1"/>
  <c r="V234" i="1" s="1"/>
  <c r="D236" i="3" s="1"/>
  <c r="U233" i="1"/>
  <c r="V233" i="1" s="1"/>
  <c r="D235" i="3" s="1"/>
  <c r="U232" i="1"/>
  <c r="V232" i="1" s="1"/>
  <c r="D234" i="3" s="1"/>
  <c r="U231" i="1"/>
  <c r="V231" i="1" s="1"/>
  <c r="D233" i="3" s="1"/>
  <c r="U230" i="1"/>
  <c r="V230" i="1" s="1"/>
  <c r="D232" i="3" s="1"/>
  <c r="U229" i="1"/>
  <c r="V229" i="1" s="1"/>
  <c r="D231" i="3" s="1"/>
  <c r="U228" i="1"/>
  <c r="V228" i="1" s="1"/>
  <c r="D230" i="3" s="1"/>
  <c r="U227" i="1"/>
  <c r="V227" i="1" s="1"/>
  <c r="D229" i="3" s="1"/>
  <c r="U226" i="1"/>
  <c r="V226" i="1" s="1"/>
  <c r="D228" i="3" s="1"/>
  <c r="U225" i="1"/>
  <c r="V225" i="1" s="1"/>
  <c r="D227" i="3" s="1"/>
  <c r="U224" i="1"/>
  <c r="V224" i="1" s="1"/>
  <c r="D226" i="3" s="1"/>
  <c r="U223" i="1"/>
  <c r="V223" i="1" s="1"/>
  <c r="D225" i="3" s="1"/>
  <c r="U222" i="1"/>
  <c r="V222" i="1" s="1"/>
  <c r="D224" i="3" s="1"/>
  <c r="U221" i="1"/>
  <c r="V221" i="1" s="1"/>
  <c r="D223" i="3" s="1"/>
  <c r="U220" i="1"/>
  <c r="V220" i="1" s="1"/>
  <c r="D222" i="3" s="1"/>
  <c r="U219" i="1"/>
  <c r="V219" i="1" s="1"/>
  <c r="D221" i="3" s="1"/>
  <c r="U218" i="1"/>
  <c r="V218" i="1" s="1"/>
  <c r="D220" i="3" s="1"/>
  <c r="U217" i="1"/>
  <c r="V217" i="1" s="1"/>
  <c r="D219" i="3" s="1"/>
  <c r="U216" i="1"/>
  <c r="V216" i="1" s="1"/>
  <c r="D218" i="3" s="1"/>
  <c r="U215" i="1"/>
  <c r="V215" i="1" s="1"/>
  <c r="D217" i="3" s="1"/>
  <c r="U214" i="1"/>
  <c r="V214" i="1" s="1"/>
  <c r="D216" i="3" s="1"/>
  <c r="U213" i="1"/>
  <c r="V213" i="1" s="1"/>
  <c r="D215" i="3" s="1"/>
  <c r="U212" i="1"/>
  <c r="V212" i="1" s="1"/>
  <c r="D214" i="3" s="1"/>
  <c r="U211" i="1"/>
  <c r="V211" i="1" s="1"/>
  <c r="D213" i="3" s="1"/>
  <c r="U210" i="1"/>
  <c r="V210" i="1" s="1"/>
  <c r="D212" i="3" s="1"/>
  <c r="U209" i="1"/>
  <c r="V209" i="1" s="1"/>
  <c r="D211" i="3" s="1"/>
  <c r="U208" i="1"/>
  <c r="V208" i="1" s="1"/>
  <c r="D210" i="3" s="1"/>
  <c r="U207" i="1"/>
  <c r="V207" i="1" s="1"/>
  <c r="D209" i="3" s="1"/>
  <c r="U206" i="1"/>
  <c r="V206" i="1" s="1"/>
  <c r="D208" i="3" s="1"/>
  <c r="U205" i="1"/>
  <c r="V205" i="1" s="1"/>
  <c r="D207" i="3" s="1"/>
  <c r="U204" i="1"/>
  <c r="V204" i="1" s="1"/>
  <c r="D206" i="3" s="1"/>
  <c r="U203" i="1"/>
  <c r="V203" i="1" s="1"/>
  <c r="D205" i="3" s="1"/>
  <c r="U202" i="1"/>
  <c r="V202" i="1" s="1"/>
  <c r="D204" i="3" s="1"/>
  <c r="U201" i="1"/>
  <c r="V201" i="1" s="1"/>
  <c r="D203" i="3" s="1"/>
  <c r="U200" i="1"/>
  <c r="V200" i="1" s="1"/>
  <c r="D202" i="3" s="1"/>
  <c r="U199" i="1"/>
  <c r="V199" i="1" s="1"/>
  <c r="D201" i="3" s="1"/>
  <c r="U198" i="1"/>
  <c r="V198" i="1" s="1"/>
  <c r="D200" i="3" s="1"/>
  <c r="U197" i="1"/>
  <c r="V197" i="1" s="1"/>
  <c r="D199" i="3" s="1"/>
  <c r="U196" i="1"/>
  <c r="V196" i="1" s="1"/>
  <c r="D198" i="3" s="1"/>
  <c r="U195" i="1"/>
  <c r="V195" i="1" s="1"/>
  <c r="D197" i="3" s="1"/>
  <c r="U194" i="1"/>
  <c r="V194" i="1" s="1"/>
  <c r="D196" i="3" s="1"/>
  <c r="U193" i="1"/>
  <c r="V193" i="1" s="1"/>
  <c r="D195" i="3" s="1"/>
  <c r="U192" i="1"/>
  <c r="V192" i="1" s="1"/>
  <c r="D194" i="3" s="1"/>
  <c r="U191" i="1"/>
  <c r="V191" i="1" s="1"/>
  <c r="D193" i="3" s="1"/>
  <c r="U190" i="1"/>
  <c r="V190" i="1" s="1"/>
  <c r="D192" i="3" s="1"/>
  <c r="U189" i="1"/>
  <c r="V189" i="1" s="1"/>
  <c r="D191" i="3" s="1"/>
  <c r="U188" i="1"/>
  <c r="V188" i="1" s="1"/>
  <c r="D190" i="3" s="1"/>
  <c r="U187" i="1"/>
  <c r="V187" i="1" s="1"/>
  <c r="D189" i="3" s="1"/>
  <c r="U186" i="1"/>
  <c r="V186" i="1" s="1"/>
  <c r="D188" i="3" s="1"/>
  <c r="U185" i="1"/>
  <c r="V185" i="1" s="1"/>
  <c r="D187" i="3" s="1"/>
  <c r="U184" i="1"/>
  <c r="V184" i="1" s="1"/>
  <c r="D186" i="3" s="1"/>
  <c r="U183" i="1"/>
  <c r="V183" i="1" s="1"/>
  <c r="D185" i="3" s="1"/>
  <c r="U182" i="1"/>
  <c r="V182" i="1" s="1"/>
  <c r="D184" i="3" s="1"/>
  <c r="U181" i="1"/>
  <c r="V181" i="1" s="1"/>
  <c r="D183" i="3" s="1"/>
  <c r="U180" i="1"/>
  <c r="V180" i="1" s="1"/>
  <c r="D182" i="3" s="1"/>
  <c r="U179" i="1"/>
  <c r="V179" i="1" s="1"/>
  <c r="D181" i="3" s="1"/>
  <c r="U178" i="1"/>
  <c r="V178" i="1" s="1"/>
  <c r="D180" i="3" s="1"/>
  <c r="U177" i="1"/>
  <c r="V177" i="1" s="1"/>
  <c r="D179" i="3" s="1"/>
  <c r="U176" i="1"/>
  <c r="V176" i="1" s="1"/>
  <c r="D178" i="3" s="1"/>
  <c r="U175" i="1"/>
  <c r="V175" i="1" s="1"/>
  <c r="D177" i="3" s="1"/>
  <c r="U174" i="1"/>
  <c r="V174" i="1" s="1"/>
  <c r="D176" i="3" s="1"/>
  <c r="U173" i="1"/>
  <c r="V173" i="1" s="1"/>
  <c r="D175" i="3" s="1"/>
  <c r="U172" i="1"/>
  <c r="V172" i="1" s="1"/>
  <c r="D174" i="3" s="1"/>
  <c r="U171" i="1"/>
  <c r="V171" i="1" s="1"/>
  <c r="D173" i="3" s="1"/>
  <c r="U170" i="1"/>
  <c r="V170" i="1" s="1"/>
  <c r="D172" i="3" s="1"/>
  <c r="U169" i="1"/>
  <c r="V169" i="1" s="1"/>
  <c r="D171" i="3" s="1"/>
  <c r="U168" i="1"/>
  <c r="V168" i="1" s="1"/>
  <c r="D170" i="3" s="1"/>
  <c r="U167" i="1"/>
  <c r="V167" i="1" s="1"/>
  <c r="D169" i="3" s="1"/>
  <c r="U166" i="1"/>
  <c r="V166" i="1" s="1"/>
  <c r="D168" i="3" s="1"/>
  <c r="U165" i="1"/>
  <c r="V165" i="1" s="1"/>
  <c r="D167" i="3" s="1"/>
  <c r="U164" i="1"/>
  <c r="V164" i="1" s="1"/>
  <c r="D166" i="3" s="1"/>
  <c r="U163" i="1"/>
  <c r="V163" i="1" s="1"/>
  <c r="D165" i="3" s="1"/>
  <c r="U162" i="1"/>
  <c r="V162" i="1" s="1"/>
  <c r="D164" i="3" s="1"/>
  <c r="U161" i="1"/>
  <c r="V161" i="1" s="1"/>
  <c r="D163" i="3" s="1"/>
  <c r="U160" i="1"/>
  <c r="V160" i="1" s="1"/>
  <c r="D162" i="3" s="1"/>
  <c r="U159" i="1"/>
  <c r="V159" i="1" s="1"/>
  <c r="D161" i="3" s="1"/>
  <c r="U158" i="1"/>
  <c r="V158" i="1" s="1"/>
  <c r="D160" i="3" s="1"/>
  <c r="U157" i="1"/>
  <c r="V157" i="1" s="1"/>
  <c r="D159" i="3" s="1"/>
  <c r="U156" i="1"/>
  <c r="V156" i="1" s="1"/>
  <c r="D158" i="3" s="1"/>
  <c r="U155" i="1"/>
  <c r="V155" i="1" s="1"/>
  <c r="D157" i="3" s="1"/>
  <c r="U154" i="1"/>
  <c r="V154" i="1" s="1"/>
  <c r="D156" i="3" s="1"/>
  <c r="U153" i="1"/>
  <c r="V153" i="1" s="1"/>
  <c r="D155" i="3" s="1"/>
  <c r="U152" i="1"/>
  <c r="V152" i="1" s="1"/>
  <c r="D154" i="3" s="1"/>
  <c r="U151" i="1"/>
  <c r="V151" i="1" s="1"/>
  <c r="D153" i="3" s="1"/>
  <c r="U150" i="1"/>
  <c r="V150" i="1" s="1"/>
  <c r="D152" i="3" s="1"/>
  <c r="U149" i="1"/>
  <c r="V149" i="1" s="1"/>
  <c r="D151" i="3" s="1"/>
  <c r="U148" i="1"/>
  <c r="V148" i="1" s="1"/>
  <c r="D150" i="3" s="1"/>
  <c r="U147" i="1"/>
  <c r="V147" i="1" s="1"/>
  <c r="D149" i="3" s="1"/>
  <c r="U146" i="1"/>
  <c r="V146" i="1" s="1"/>
  <c r="D148" i="3" s="1"/>
  <c r="U145" i="1"/>
  <c r="V145" i="1" s="1"/>
  <c r="D147" i="3" s="1"/>
  <c r="U144" i="1"/>
  <c r="V144" i="1" s="1"/>
  <c r="D146" i="3" s="1"/>
  <c r="U143" i="1"/>
  <c r="V143" i="1" s="1"/>
  <c r="D145" i="3" s="1"/>
  <c r="U142" i="1"/>
  <c r="V142" i="1" s="1"/>
  <c r="D144" i="3" s="1"/>
  <c r="U141" i="1"/>
  <c r="V141" i="1" s="1"/>
  <c r="D143" i="3" s="1"/>
  <c r="U140" i="1"/>
  <c r="V140" i="1" s="1"/>
  <c r="D142" i="3" s="1"/>
  <c r="U139" i="1"/>
  <c r="V139" i="1" s="1"/>
  <c r="D141" i="3" s="1"/>
  <c r="U138" i="1"/>
  <c r="V138" i="1" s="1"/>
  <c r="D140" i="3" s="1"/>
  <c r="U137" i="1"/>
  <c r="V137" i="1" s="1"/>
  <c r="D139" i="3" s="1"/>
  <c r="U136" i="1"/>
  <c r="V136" i="1" s="1"/>
  <c r="D138" i="3" s="1"/>
  <c r="U135" i="1"/>
  <c r="V135" i="1" s="1"/>
  <c r="D137" i="3" s="1"/>
  <c r="U134" i="1"/>
  <c r="V134" i="1" s="1"/>
  <c r="D136" i="3" s="1"/>
  <c r="U133" i="1"/>
  <c r="V133" i="1" s="1"/>
  <c r="D135" i="3" s="1"/>
  <c r="U132" i="1"/>
  <c r="V132" i="1" s="1"/>
  <c r="D134" i="3" s="1"/>
  <c r="U131" i="1"/>
  <c r="V131" i="1" s="1"/>
  <c r="D133" i="3" s="1"/>
  <c r="U130" i="1"/>
  <c r="V130" i="1" s="1"/>
  <c r="D132" i="3" s="1"/>
  <c r="U129" i="1"/>
  <c r="V129" i="1" s="1"/>
  <c r="D131" i="3" s="1"/>
  <c r="U128" i="1"/>
  <c r="V128" i="1" s="1"/>
  <c r="D130" i="3" s="1"/>
  <c r="U127" i="1"/>
  <c r="V127" i="1" s="1"/>
  <c r="D129" i="3" s="1"/>
  <c r="U126" i="1"/>
  <c r="V126" i="1" s="1"/>
  <c r="D128" i="3" s="1"/>
  <c r="U125" i="1"/>
  <c r="V125" i="1" s="1"/>
  <c r="D127" i="3" s="1"/>
  <c r="U124" i="1"/>
  <c r="V124" i="1" s="1"/>
  <c r="D126" i="3" s="1"/>
  <c r="U123" i="1"/>
  <c r="V123" i="1" s="1"/>
  <c r="D125" i="3" s="1"/>
  <c r="U122" i="1"/>
  <c r="V122" i="1" s="1"/>
  <c r="D124" i="3" s="1"/>
  <c r="U121" i="1"/>
  <c r="V121" i="1" s="1"/>
  <c r="D123" i="3" s="1"/>
  <c r="U120" i="1"/>
  <c r="V120" i="1" s="1"/>
  <c r="D122" i="3" s="1"/>
  <c r="U119" i="1"/>
  <c r="V119" i="1" s="1"/>
  <c r="D121" i="3" s="1"/>
  <c r="U118" i="1"/>
  <c r="V118" i="1" s="1"/>
  <c r="D120" i="3" s="1"/>
  <c r="U117" i="1"/>
  <c r="V117" i="1" s="1"/>
  <c r="D119" i="3" s="1"/>
  <c r="U116" i="1"/>
  <c r="V116" i="1" s="1"/>
  <c r="D118" i="3" s="1"/>
  <c r="U115" i="1"/>
  <c r="V115" i="1" s="1"/>
  <c r="D117" i="3" s="1"/>
  <c r="U114" i="1"/>
  <c r="V114" i="1" s="1"/>
  <c r="D116" i="3" s="1"/>
  <c r="U113" i="1"/>
  <c r="V113" i="1" s="1"/>
  <c r="D115" i="3" s="1"/>
  <c r="U112" i="1"/>
  <c r="V112" i="1" s="1"/>
  <c r="D114" i="3" s="1"/>
  <c r="U111" i="1"/>
  <c r="V111" i="1" s="1"/>
  <c r="D113" i="3" s="1"/>
  <c r="U110" i="1"/>
  <c r="V110" i="1" s="1"/>
  <c r="D112" i="3" s="1"/>
  <c r="U109" i="1"/>
  <c r="V109" i="1" s="1"/>
  <c r="D111" i="3" s="1"/>
  <c r="U108" i="1"/>
  <c r="V108" i="1" s="1"/>
  <c r="D110" i="3" s="1"/>
  <c r="U107" i="1"/>
  <c r="V107" i="1" s="1"/>
  <c r="D109" i="3" s="1"/>
  <c r="U106" i="1"/>
  <c r="V106" i="1" s="1"/>
  <c r="D108" i="3" s="1"/>
  <c r="U105" i="1"/>
  <c r="V105" i="1" s="1"/>
  <c r="D107" i="3" s="1"/>
  <c r="U104" i="1"/>
  <c r="V104" i="1" s="1"/>
  <c r="D106" i="3" s="1"/>
  <c r="U103" i="1"/>
  <c r="V103" i="1" s="1"/>
  <c r="D105" i="3" s="1"/>
  <c r="U102" i="1"/>
  <c r="V102" i="1" s="1"/>
  <c r="D104" i="3" s="1"/>
  <c r="U101" i="1"/>
  <c r="V101" i="1" s="1"/>
  <c r="D103" i="3" s="1"/>
  <c r="U100" i="1"/>
  <c r="V100" i="1" s="1"/>
  <c r="D102" i="3" s="1"/>
  <c r="U99" i="1"/>
  <c r="V99" i="1" s="1"/>
  <c r="D101" i="3" s="1"/>
  <c r="U98" i="1"/>
  <c r="V98" i="1" s="1"/>
  <c r="D100" i="3" s="1"/>
  <c r="U97" i="1"/>
  <c r="V97" i="1" s="1"/>
  <c r="D99" i="3" s="1"/>
  <c r="U96" i="1"/>
  <c r="V96" i="1" s="1"/>
  <c r="D98" i="3" s="1"/>
  <c r="U95" i="1"/>
  <c r="V95" i="1" s="1"/>
  <c r="D97" i="3" s="1"/>
  <c r="U94" i="1"/>
  <c r="V94" i="1" s="1"/>
  <c r="D96" i="3" s="1"/>
  <c r="U93" i="1"/>
  <c r="V93" i="1" s="1"/>
  <c r="D95" i="3" s="1"/>
  <c r="U92" i="1"/>
  <c r="V92" i="1" s="1"/>
  <c r="D94" i="3" s="1"/>
  <c r="U91" i="1"/>
  <c r="V91" i="1" s="1"/>
  <c r="D93" i="3" s="1"/>
  <c r="U90" i="1"/>
  <c r="V90" i="1" s="1"/>
  <c r="D92" i="3" s="1"/>
  <c r="U89" i="1"/>
  <c r="V89" i="1" s="1"/>
  <c r="D91" i="3" s="1"/>
  <c r="U88" i="1"/>
  <c r="V88" i="1" s="1"/>
  <c r="D90" i="3" s="1"/>
  <c r="U87" i="1"/>
  <c r="V87" i="1" s="1"/>
  <c r="D89" i="3" s="1"/>
  <c r="U86" i="1"/>
  <c r="V86" i="1" s="1"/>
  <c r="D88" i="3" s="1"/>
  <c r="U85" i="1"/>
  <c r="V85" i="1" s="1"/>
  <c r="D87" i="3" s="1"/>
  <c r="U84" i="1"/>
  <c r="V84" i="1" s="1"/>
  <c r="D86" i="3" s="1"/>
  <c r="U83" i="1"/>
  <c r="V83" i="1" s="1"/>
  <c r="D85" i="3" s="1"/>
  <c r="U82" i="1"/>
  <c r="V82" i="1" s="1"/>
  <c r="D84" i="3" s="1"/>
  <c r="U81" i="1"/>
  <c r="V81" i="1" s="1"/>
  <c r="D83" i="3" s="1"/>
  <c r="U80" i="1"/>
  <c r="V80" i="1" s="1"/>
  <c r="D82" i="3" s="1"/>
  <c r="U79" i="1"/>
  <c r="V79" i="1" s="1"/>
  <c r="D81" i="3" s="1"/>
  <c r="U78" i="1"/>
  <c r="V78" i="1" s="1"/>
  <c r="D80" i="3" s="1"/>
  <c r="U77" i="1"/>
  <c r="V77" i="1" s="1"/>
  <c r="D79" i="3" s="1"/>
  <c r="U76" i="1"/>
  <c r="V76" i="1" s="1"/>
  <c r="D78" i="3" s="1"/>
  <c r="U75" i="1"/>
  <c r="V75" i="1" s="1"/>
  <c r="D77" i="3" s="1"/>
  <c r="U74" i="1"/>
  <c r="V74" i="1" s="1"/>
  <c r="D76" i="3" s="1"/>
  <c r="U73" i="1"/>
  <c r="V73" i="1" s="1"/>
  <c r="D75" i="3" s="1"/>
  <c r="U72" i="1"/>
  <c r="V72" i="1" s="1"/>
  <c r="D74" i="3" s="1"/>
  <c r="U71" i="1"/>
  <c r="V71" i="1" s="1"/>
  <c r="D73" i="3" s="1"/>
  <c r="U70" i="1"/>
  <c r="V70" i="1" s="1"/>
  <c r="D72" i="3" s="1"/>
  <c r="U69" i="1"/>
  <c r="V69" i="1" s="1"/>
  <c r="D71" i="3" s="1"/>
  <c r="U68" i="1"/>
  <c r="V68" i="1" s="1"/>
  <c r="D70" i="3" s="1"/>
  <c r="U67" i="1"/>
  <c r="V67" i="1" s="1"/>
  <c r="D69" i="3" s="1"/>
  <c r="U66" i="1"/>
  <c r="V66" i="1" s="1"/>
  <c r="D68" i="3" s="1"/>
  <c r="U65" i="1"/>
  <c r="V65" i="1" s="1"/>
  <c r="D67" i="3" s="1"/>
  <c r="U64" i="1"/>
  <c r="V64" i="1" s="1"/>
  <c r="D66" i="3" s="1"/>
  <c r="U63" i="1"/>
  <c r="V63" i="1" s="1"/>
  <c r="D65" i="3" s="1"/>
  <c r="U62" i="1"/>
  <c r="V62" i="1" s="1"/>
  <c r="D64" i="3" s="1"/>
  <c r="U61" i="1"/>
  <c r="V61" i="1" s="1"/>
  <c r="D63" i="3" s="1"/>
  <c r="U60" i="1"/>
  <c r="V60" i="1" s="1"/>
  <c r="D62" i="3" s="1"/>
  <c r="U59" i="1"/>
  <c r="V59" i="1" s="1"/>
  <c r="D61" i="3" s="1"/>
  <c r="U58" i="1"/>
  <c r="V58" i="1" s="1"/>
  <c r="D60" i="3" s="1"/>
  <c r="U57" i="1"/>
  <c r="V57" i="1" s="1"/>
  <c r="D59" i="3" s="1"/>
  <c r="U56" i="1"/>
  <c r="V56" i="1" s="1"/>
  <c r="D58" i="3" s="1"/>
  <c r="U55" i="1"/>
  <c r="V55" i="1" s="1"/>
  <c r="D57" i="3" s="1"/>
  <c r="U54" i="1"/>
  <c r="V54" i="1" s="1"/>
  <c r="D56" i="3" s="1"/>
  <c r="U53" i="1"/>
  <c r="V53" i="1" s="1"/>
  <c r="D55" i="3" s="1"/>
  <c r="U52" i="1"/>
  <c r="V52" i="1" s="1"/>
  <c r="D54" i="3" s="1"/>
  <c r="U51" i="1"/>
  <c r="V51" i="1" s="1"/>
  <c r="D53" i="3" s="1"/>
  <c r="U50" i="1"/>
  <c r="V50" i="1" s="1"/>
  <c r="D52" i="3" s="1"/>
  <c r="U49" i="1"/>
  <c r="V49" i="1" s="1"/>
  <c r="D51" i="3" s="1"/>
  <c r="U48" i="1"/>
  <c r="V48" i="1" s="1"/>
  <c r="D50" i="3" s="1"/>
  <c r="U47" i="1"/>
  <c r="V47" i="1" s="1"/>
  <c r="D49" i="3" s="1"/>
  <c r="U46" i="1"/>
  <c r="V46" i="1" s="1"/>
  <c r="D48" i="3" s="1"/>
  <c r="U45" i="1"/>
  <c r="V45" i="1" s="1"/>
  <c r="D47" i="3" s="1"/>
  <c r="U44" i="1"/>
  <c r="V44" i="1" s="1"/>
  <c r="D46" i="3" s="1"/>
  <c r="U43" i="1"/>
  <c r="V43" i="1" s="1"/>
  <c r="D45" i="3" s="1"/>
  <c r="U42" i="1"/>
  <c r="V42" i="1" s="1"/>
  <c r="D44" i="3" s="1"/>
  <c r="U41" i="1"/>
  <c r="V41" i="1" s="1"/>
  <c r="D43" i="3" s="1"/>
  <c r="U40" i="1"/>
  <c r="V40" i="1" s="1"/>
  <c r="D42" i="3" s="1"/>
  <c r="U39" i="1"/>
  <c r="V39" i="1" s="1"/>
  <c r="D41" i="3" s="1"/>
  <c r="U38" i="1"/>
  <c r="V38" i="1" s="1"/>
  <c r="D40" i="3" s="1"/>
  <c r="U37" i="1"/>
  <c r="V37" i="1" s="1"/>
  <c r="D39" i="3" s="1"/>
  <c r="U36" i="1"/>
  <c r="V36" i="1" s="1"/>
  <c r="D38" i="3" s="1"/>
  <c r="U35" i="1"/>
  <c r="V35" i="1" s="1"/>
  <c r="D37" i="3" s="1"/>
  <c r="U34" i="1"/>
  <c r="V34" i="1" s="1"/>
  <c r="D36" i="3" s="1"/>
  <c r="U33" i="1"/>
  <c r="V33" i="1" s="1"/>
  <c r="D35" i="3" s="1"/>
  <c r="U32" i="1"/>
  <c r="V32" i="1" s="1"/>
  <c r="D34" i="3" s="1"/>
  <c r="U31" i="1"/>
  <c r="V31" i="1" s="1"/>
  <c r="D33" i="3" s="1"/>
  <c r="U30" i="1"/>
  <c r="V30" i="1" s="1"/>
  <c r="D32" i="3" s="1"/>
  <c r="U29" i="1"/>
  <c r="V29" i="1" s="1"/>
  <c r="D31" i="3" s="1"/>
  <c r="U28" i="1"/>
  <c r="V28" i="1" s="1"/>
  <c r="D30" i="3" s="1"/>
  <c r="U27" i="1"/>
  <c r="V27" i="1" s="1"/>
  <c r="D29" i="3" s="1"/>
  <c r="U26" i="1"/>
  <c r="V26" i="1" s="1"/>
  <c r="D28" i="3" s="1"/>
  <c r="U25" i="1"/>
  <c r="V25" i="1" s="1"/>
  <c r="D27" i="3" s="1"/>
  <c r="U24" i="1"/>
  <c r="V24" i="1" s="1"/>
  <c r="D26" i="3" s="1"/>
  <c r="U23" i="1"/>
  <c r="V23" i="1" s="1"/>
  <c r="D25" i="3" s="1"/>
  <c r="U22" i="1"/>
  <c r="V22" i="1" s="1"/>
  <c r="D24" i="3" s="1"/>
  <c r="U21" i="1"/>
  <c r="V21" i="1" s="1"/>
  <c r="D23" i="3" s="1"/>
  <c r="U20" i="1"/>
  <c r="V20" i="1" s="1"/>
  <c r="D22" i="3" s="1"/>
  <c r="U19" i="1"/>
  <c r="V19" i="1" s="1"/>
  <c r="D21" i="3" s="1"/>
  <c r="U18" i="1"/>
  <c r="V18" i="1" s="1"/>
  <c r="D20" i="3" s="1"/>
  <c r="U17" i="1"/>
  <c r="V17" i="1" s="1"/>
  <c r="D19" i="3" s="1"/>
  <c r="U16" i="1"/>
  <c r="V16" i="1" s="1"/>
  <c r="D18" i="3" s="1"/>
  <c r="U15" i="1"/>
  <c r="V15" i="1" s="1"/>
  <c r="D17" i="3" s="1"/>
  <c r="U14" i="1"/>
  <c r="V14" i="1" s="1"/>
  <c r="D16" i="3" s="1"/>
  <c r="U13" i="1"/>
  <c r="V13" i="1" s="1"/>
  <c r="D15" i="3" s="1"/>
  <c r="U12" i="1"/>
  <c r="V12" i="1" s="1"/>
  <c r="D14" i="3" s="1"/>
  <c r="U11" i="1"/>
  <c r="V11" i="1" s="1"/>
  <c r="D13" i="3" s="1"/>
  <c r="U10" i="1"/>
  <c r="V10" i="1" s="1"/>
  <c r="D12" i="3" s="1"/>
  <c r="U9" i="1"/>
  <c r="V9" i="1" s="1"/>
  <c r="D11" i="3" s="1"/>
  <c r="U8" i="1"/>
  <c r="V8" i="1" s="1"/>
  <c r="D10" i="3" s="1"/>
  <c r="U7" i="1"/>
  <c r="V7" i="1" s="1"/>
  <c r="D9" i="3" s="1"/>
  <c r="U6" i="1"/>
  <c r="V6" i="1" s="1"/>
  <c r="D8" i="3" s="1"/>
  <c r="U5" i="1"/>
  <c r="U4" i="1"/>
  <c r="U3" i="1"/>
  <c r="U974" i="2"/>
  <c r="V974" i="2" s="1"/>
  <c r="E976" i="3" s="1"/>
  <c r="U973" i="2"/>
  <c r="V973" i="2" s="1"/>
  <c r="E975" i="3" s="1"/>
  <c r="U972" i="2"/>
  <c r="V972" i="2" s="1"/>
  <c r="E974" i="3" s="1"/>
  <c r="U971" i="2"/>
  <c r="V971" i="2" s="1"/>
  <c r="E973" i="3" s="1"/>
  <c r="U970" i="2"/>
  <c r="V970" i="2" s="1"/>
  <c r="E972" i="3" s="1"/>
  <c r="U969" i="2"/>
  <c r="V969" i="2" s="1"/>
  <c r="E971" i="3" s="1"/>
  <c r="U968" i="2"/>
  <c r="V968" i="2" s="1"/>
  <c r="E970" i="3" s="1"/>
  <c r="U967" i="2"/>
  <c r="V967" i="2" s="1"/>
  <c r="E969" i="3" s="1"/>
  <c r="U966" i="2"/>
  <c r="V966" i="2" s="1"/>
  <c r="E968" i="3" s="1"/>
  <c r="U965" i="2"/>
  <c r="V965" i="2" s="1"/>
  <c r="E967" i="3" s="1"/>
  <c r="U964" i="2"/>
  <c r="V964" i="2" s="1"/>
  <c r="E966" i="3" s="1"/>
  <c r="U963" i="2"/>
  <c r="V963" i="2" s="1"/>
  <c r="E965" i="3" s="1"/>
  <c r="U962" i="2"/>
  <c r="V962" i="2" s="1"/>
  <c r="E964" i="3" s="1"/>
  <c r="U961" i="2"/>
  <c r="V961" i="2" s="1"/>
  <c r="E963" i="3" s="1"/>
  <c r="U960" i="2"/>
  <c r="V960" i="2" s="1"/>
  <c r="E962" i="3" s="1"/>
  <c r="U959" i="2"/>
  <c r="V959" i="2" s="1"/>
  <c r="E961" i="3" s="1"/>
  <c r="U958" i="2"/>
  <c r="V958" i="2" s="1"/>
  <c r="E960" i="3" s="1"/>
  <c r="U957" i="2"/>
  <c r="V957" i="2" s="1"/>
  <c r="E959" i="3" s="1"/>
  <c r="U956" i="2"/>
  <c r="V956" i="2" s="1"/>
  <c r="E958" i="3" s="1"/>
  <c r="U955" i="2"/>
  <c r="V955" i="2" s="1"/>
  <c r="E957" i="3" s="1"/>
  <c r="U954" i="2"/>
  <c r="V954" i="2" s="1"/>
  <c r="E956" i="3" s="1"/>
  <c r="U953" i="2"/>
  <c r="V953" i="2" s="1"/>
  <c r="E955" i="3" s="1"/>
  <c r="U952" i="2"/>
  <c r="V952" i="2" s="1"/>
  <c r="E954" i="3" s="1"/>
  <c r="U951" i="2"/>
  <c r="V951" i="2" s="1"/>
  <c r="E953" i="3" s="1"/>
  <c r="U950" i="2"/>
  <c r="V950" i="2" s="1"/>
  <c r="E952" i="3" s="1"/>
  <c r="U949" i="2"/>
  <c r="V949" i="2" s="1"/>
  <c r="E951" i="3" s="1"/>
  <c r="U948" i="2"/>
  <c r="V948" i="2" s="1"/>
  <c r="E950" i="3" s="1"/>
  <c r="U947" i="2"/>
  <c r="V947" i="2" s="1"/>
  <c r="E949" i="3" s="1"/>
  <c r="U946" i="2"/>
  <c r="V946" i="2" s="1"/>
  <c r="E948" i="3" s="1"/>
  <c r="U945" i="2"/>
  <c r="V945" i="2" s="1"/>
  <c r="E947" i="3" s="1"/>
  <c r="U944" i="2"/>
  <c r="V944" i="2" s="1"/>
  <c r="E946" i="3" s="1"/>
  <c r="U943" i="2"/>
  <c r="V943" i="2" s="1"/>
  <c r="E945" i="3" s="1"/>
  <c r="U942" i="2"/>
  <c r="V942" i="2" s="1"/>
  <c r="E944" i="3" s="1"/>
  <c r="U941" i="2"/>
  <c r="V941" i="2" s="1"/>
  <c r="E943" i="3" s="1"/>
  <c r="U940" i="2"/>
  <c r="V940" i="2" s="1"/>
  <c r="E942" i="3" s="1"/>
  <c r="U939" i="2"/>
  <c r="V939" i="2" s="1"/>
  <c r="E941" i="3" s="1"/>
  <c r="U938" i="2"/>
  <c r="V938" i="2" s="1"/>
  <c r="E940" i="3" s="1"/>
  <c r="U937" i="2"/>
  <c r="V937" i="2" s="1"/>
  <c r="E939" i="3" s="1"/>
  <c r="U936" i="2"/>
  <c r="V936" i="2" s="1"/>
  <c r="E938" i="3" s="1"/>
  <c r="U935" i="2"/>
  <c r="V935" i="2" s="1"/>
  <c r="E937" i="3" s="1"/>
  <c r="U934" i="2"/>
  <c r="V934" i="2" s="1"/>
  <c r="E936" i="3" s="1"/>
  <c r="U933" i="2"/>
  <c r="V933" i="2" s="1"/>
  <c r="E935" i="3" s="1"/>
  <c r="U932" i="2"/>
  <c r="V932" i="2" s="1"/>
  <c r="E934" i="3" s="1"/>
  <c r="U931" i="2"/>
  <c r="V931" i="2" s="1"/>
  <c r="E933" i="3" s="1"/>
  <c r="U930" i="2"/>
  <c r="V930" i="2" s="1"/>
  <c r="E932" i="3" s="1"/>
  <c r="U929" i="2"/>
  <c r="V929" i="2" s="1"/>
  <c r="E931" i="3" s="1"/>
  <c r="U928" i="2"/>
  <c r="V928" i="2" s="1"/>
  <c r="E930" i="3" s="1"/>
  <c r="U927" i="2"/>
  <c r="V927" i="2" s="1"/>
  <c r="E929" i="3" s="1"/>
  <c r="U926" i="2"/>
  <c r="V926" i="2" s="1"/>
  <c r="E928" i="3" s="1"/>
  <c r="U925" i="2"/>
  <c r="V925" i="2" s="1"/>
  <c r="E927" i="3" s="1"/>
  <c r="U924" i="2"/>
  <c r="V924" i="2" s="1"/>
  <c r="E926" i="3" s="1"/>
  <c r="U923" i="2"/>
  <c r="V923" i="2" s="1"/>
  <c r="E925" i="3" s="1"/>
  <c r="U922" i="2"/>
  <c r="V922" i="2" s="1"/>
  <c r="E924" i="3" s="1"/>
  <c r="U921" i="2"/>
  <c r="V921" i="2" s="1"/>
  <c r="E923" i="3" s="1"/>
  <c r="U920" i="2"/>
  <c r="V920" i="2" s="1"/>
  <c r="E922" i="3" s="1"/>
  <c r="U919" i="2"/>
  <c r="V919" i="2" s="1"/>
  <c r="E921" i="3" s="1"/>
  <c r="U918" i="2"/>
  <c r="V918" i="2" s="1"/>
  <c r="E920" i="3" s="1"/>
  <c r="U917" i="2"/>
  <c r="V917" i="2" s="1"/>
  <c r="E919" i="3" s="1"/>
  <c r="U916" i="2"/>
  <c r="V916" i="2" s="1"/>
  <c r="E918" i="3" s="1"/>
  <c r="U915" i="2"/>
  <c r="V915" i="2" s="1"/>
  <c r="E917" i="3" s="1"/>
  <c r="U914" i="2"/>
  <c r="V914" i="2" s="1"/>
  <c r="E916" i="3" s="1"/>
  <c r="U913" i="2"/>
  <c r="V913" i="2" s="1"/>
  <c r="E915" i="3" s="1"/>
  <c r="U912" i="2"/>
  <c r="V912" i="2" s="1"/>
  <c r="E914" i="3" s="1"/>
  <c r="U911" i="2"/>
  <c r="V911" i="2" s="1"/>
  <c r="E913" i="3" s="1"/>
  <c r="U910" i="2"/>
  <c r="V910" i="2" s="1"/>
  <c r="E912" i="3" s="1"/>
  <c r="U909" i="2"/>
  <c r="V909" i="2" s="1"/>
  <c r="E911" i="3" s="1"/>
  <c r="U908" i="2"/>
  <c r="V908" i="2" s="1"/>
  <c r="E910" i="3" s="1"/>
  <c r="U907" i="2"/>
  <c r="V907" i="2" s="1"/>
  <c r="E909" i="3" s="1"/>
  <c r="U906" i="2"/>
  <c r="V906" i="2" s="1"/>
  <c r="E908" i="3" s="1"/>
  <c r="U905" i="2"/>
  <c r="V905" i="2" s="1"/>
  <c r="E907" i="3" s="1"/>
  <c r="U904" i="2"/>
  <c r="V904" i="2" s="1"/>
  <c r="E906" i="3" s="1"/>
  <c r="U903" i="2"/>
  <c r="V903" i="2" s="1"/>
  <c r="E905" i="3" s="1"/>
  <c r="U902" i="2"/>
  <c r="V902" i="2" s="1"/>
  <c r="E904" i="3" s="1"/>
  <c r="U901" i="2"/>
  <c r="V901" i="2" s="1"/>
  <c r="E903" i="3" s="1"/>
  <c r="U900" i="2"/>
  <c r="V900" i="2" s="1"/>
  <c r="E902" i="3" s="1"/>
  <c r="U899" i="2"/>
  <c r="V899" i="2" s="1"/>
  <c r="E901" i="3" s="1"/>
  <c r="U898" i="2"/>
  <c r="V898" i="2" s="1"/>
  <c r="E900" i="3" s="1"/>
  <c r="U897" i="2"/>
  <c r="V897" i="2" s="1"/>
  <c r="E899" i="3" s="1"/>
  <c r="U896" i="2"/>
  <c r="V896" i="2" s="1"/>
  <c r="E898" i="3" s="1"/>
  <c r="U895" i="2"/>
  <c r="V895" i="2" s="1"/>
  <c r="E897" i="3" s="1"/>
  <c r="U894" i="2"/>
  <c r="V894" i="2" s="1"/>
  <c r="E896" i="3" s="1"/>
  <c r="U893" i="2"/>
  <c r="V893" i="2" s="1"/>
  <c r="E895" i="3" s="1"/>
  <c r="U892" i="2"/>
  <c r="V892" i="2" s="1"/>
  <c r="E894" i="3" s="1"/>
  <c r="U891" i="2"/>
  <c r="V891" i="2" s="1"/>
  <c r="E893" i="3" s="1"/>
  <c r="U890" i="2"/>
  <c r="V890" i="2" s="1"/>
  <c r="E892" i="3" s="1"/>
  <c r="U889" i="2"/>
  <c r="V889" i="2" s="1"/>
  <c r="E891" i="3" s="1"/>
  <c r="U888" i="2"/>
  <c r="V888" i="2" s="1"/>
  <c r="E890" i="3" s="1"/>
  <c r="U887" i="2"/>
  <c r="V887" i="2" s="1"/>
  <c r="E889" i="3" s="1"/>
  <c r="U886" i="2"/>
  <c r="V886" i="2" s="1"/>
  <c r="E888" i="3" s="1"/>
  <c r="U885" i="2"/>
  <c r="V885" i="2" s="1"/>
  <c r="E887" i="3" s="1"/>
  <c r="U884" i="2"/>
  <c r="V884" i="2" s="1"/>
  <c r="E886" i="3" s="1"/>
  <c r="U883" i="2"/>
  <c r="V883" i="2" s="1"/>
  <c r="E885" i="3" s="1"/>
  <c r="U882" i="2"/>
  <c r="V882" i="2" s="1"/>
  <c r="E884" i="3" s="1"/>
  <c r="U881" i="2"/>
  <c r="V881" i="2" s="1"/>
  <c r="E883" i="3" s="1"/>
  <c r="U880" i="2"/>
  <c r="V880" i="2" s="1"/>
  <c r="E882" i="3" s="1"/>
  <c r="U879" i="2"/>
  <c r="V879" i="2" s="1"/>
  <c r="E881" i="3" s="1"/>
  <c r="U878" i="2"/>
  <c r="V878" i="2" s="1"/>
  <c r="E880" i="3" s="1"/>
  <c r="U877" i="2"/>
  <c r="V877" i="2" s="1"/>
  <c r="E879" i="3" s="1"/>
  <c r="U876" i="2"/>
  <c r="V876" i="2" s="1"/>
  <c r="E878" i="3" s="1"/>
  <c r="U875" i="2"/>
  <c r="V875" i="2" s="1"/>
  <c r="E877" i="3" s="1"/>
  <c r="U874" i="2"/>
  <c r="V874" i="2" s="1"/>
  <c r="E876" i="3" s="1"/>
  <c r="U873" i="2"/>
  <c r="V873" i="2" s="1"/>
  <c r="E875" i="3" s="1"/>
  <c r="U872" i="2"/>
  <c r="V872" i="2" s="1"/>
  <c r="E874" i="3" s="1"/>
  <c r="U871" i="2"/>
  <c r="V871" i="2" s="1"/>
  <c r="E873" i="3" s="1"/>
  <c r="U870" i="2"/>
  <c r="V870" i="2" s="1"/>
  <c r="E872" i="3" s="1"/>
  <c r="U869" i="2"/>
  <c r="V869" i="2" s="1"/>
  <c r="E871" i="3" s="1"/>
  <c r="U868" i="2"/>
  <c r="V868" i="2" s="1"/>
  <c r="E870" i="3" s="1"/>
  <c r="U867" i="2"/>
  <c r="V867" i="2" s="1"/>
  <c r="E869" i="3" s="1"/>
  <c r="U866" i="2"/>
  <c r="V866" i="2" s="1"/>
  <c r="E868" i="3" s="1"/>
  <c r="U865" i="2"/>
  <c r="V865" i="2" s="1"/>
  <c r="E867" i="3" s="1"/>
  <c r="U864" i="2"/>
  <c r="V864" i="2" s="1"/>
  <c r="E866" i="3" s="1"/>
  <c r="U863" i="2"/>
  <c r="V863" i="2" s="1"/>
  <c r="E865" i="3" s="1"/>
  <c r="U862" i="2"/>
  <c r="V862" i="2" s="1"/>
  <c r="E864" i="3" s="1"/>
  <c r="U861" i="2"/>
  <c r="V861" i="2" s="1"/>
  <c r="E863" i="3" s="1"/>
  <c r="U860" i="2"/>
  <c r="V860" i="2" s="1"/>
  <c r="E862" i="3" s="1"/>
  <c r="U859" i="2"/>
  <c r="V859" i="2" s="1"/>
  <c r="E861" i="3" s="1"/>
  <c r="U858" i="2"/>
  <c r="V858" i="2" s="1"/>
  <c r="E860" i="3" s="1"/>
  <c r="U857" i="2"/>
  <c r="V857" i="2" s="1"/>
  <c r="E859" i="3" s="1"/>
  <c r="U856" i="2"/>
  <c r="V856" i="2" s="1"/>
  <c r="E858" i="3" s="1"/>
  <c r="U855" i="2"/>
  <c r="V855" i="2" s="1"/>
  <c r="E857" i="3" s="1"/>
  <c r="U854" i="2"/>
  <c r="V854" i="2" s="1"/>
  <c r="E856" i="3" s="1"/>
  <c r="U853" i="2"/>
  <c r="V853" i="2" s="1"/>
  <c r="E855" i="3" s="1"/>
  <c r="U852" i="2"/>
  <c r="V852" i="2" s="1"/>
  <c r="E854" i="3" s="1"/>
  <c r="U851" i="2"/>
  <c r="V851" i="2" s="1"/>
  <c r="E853" i="3" s="1"/>
  <c r="U850" i="2"/>
  <c r="V850" i="2" s="1"/>
  <c r="E852" i="3" s="1"/>
  <c r="U849" i="2"/>
  <c r="V849" i="2" s="1"/>
  <c r="E851" i="3" s="1"/>
  <c r="U848" i="2"/>
  <c r="V848" i="2" s="1"/>
  <c r="E850" i="3" s="1"/>
  <c r="U847" i="2"/>
  <c r="V847" i="2" s="1"/>
  <c r="E849" i="3" s="1"/>
  <c r="U846" i="2"/>
  <c r="V846" i="2" s="1"/>
  <c r="E848" i="3" s="1"/>
  <c r="U845" i="2"/>
  <c r="V845" i="2" s="1"/>
  <c r="E847" i="3" s="1"/>
  <c r="U844" i="2"/>
  <c r="V844" i="2" s="1"/>
  <c r="E846" i="3" s="1"/>
  <c r="U843" i="2"/>
  <c r="V843" i="2" s="1"/>
  <c r="E845" i="3" s="1"/>
  <c r="U842" i="2"/>
  <c r="V842" i="2" s="1"/>
  <c r="E844" i="3" s="1"/>
  <c r="U841" i="2"/>
  <c r="V841" i="2" s="1"/>
  <c r="E843" i="3" s="1"/>
  <c r="U840" i="2"/>
  <c r="V840" i="2" s="1"/>
  <c r="E842" i="3" s="1"/>
  <c r="U839" i="2"/>
  <c r="V839" i="2" s="1"/>
  <c r="E841" i="3" s="1"/>
  <c r="U838" i="2"/>
  <c r="V838" i="2" s="1"/>
  <c r="E840" i="3" s="1"/>
  <c r="U837" i="2"/>
  <c r="V837" i="2" s="1"/>
  <c r="E839" i="3" s="1"/>
  <c r="U836" i="2"/>
  <c r="V836" i="2" s="1"/>
  <c r="E838" i="3" s="1"/>
  <c r="U835" i="2"/>
  <c r="V835" i="2" s="1"/>
  <c r="E837" i="3" s="1"/>
  <c r="U834" i="2"/>
  <c r="V834" i="2" s="1"/>
  <c r="E836" i="3" s="1"/>
  <c r="U833" i="2"/>
  <c r="V833" i="2" s="1"/>
  <c r="E835" i="3" s="1"/>
  <c r="U832" i="2"/>
  <c r="V832" i="2" s="1"/>
  <c r="E834" i="3" s="1"/>
  <c r="U831" i="2"/>
  <c r="V831" i="2" s="1"/>
  <c r="E833" i="3" s="1"/>
  <c r="U830" i="2"/>
  <c r="V830" i="2" s="1"/>
  <c r="E832" i="3" s="1"/>
  <c r="U829" i="2"/>
  <c r="V829" i="2" s="1"/>
  <c r="E831" i="3" s="1"/>
  <c r="U828" i="2"/>
  <c r="V828" i="2" s="1"/>
  <c r="E830" i="3" s="1"/>
  <c r="U827" i="2"/>
  <c r="V827" i="2" s="1"/>
  <c r="E829" i="3" s="1"/>
  <c r="U826" i="2"/>
  <c r="V826" i="2" s="1"/>
  <c r="E828" i="3" s="1"/>
  <c r="U825" i="2"/>
  <c r="V825" i="2" s="1"/>
  <c r="E827" i="3" s="1"/>
  <c r="U824" i="2"/>
  <c r="V824" i="2" s="1"/>
  <c r="E826" i="3" s="1"/>
  <c r="U823" i="2"/>
  <c r="V823" i="2" s="1"/>
  <c r="E825" i="3" s="1"/>
  <c r="U822" i="2"/>
  <c r="V822" i="2" s="1"/>
  <c r="E824" i="3" s="1"/>
  <c r="U821" i="2"/>
  <c r="V821" i="2" s="1"/>
  <c r="E823" i="3" s="1"/>
  <c r="U820" i="2"/>
  <c r="V820" i="2" s="1"/>
  <c r="E822" i="3" s="1"/>
  <c r="U819" i="2"/>
  <c r="V819" i="2" s="1"/>
  <c r="E821" i="3" s="1"/>
  <c r="U818" i="2"/>
  <c r="V818" i="2" s="1"/>
  <c r="E820" i="3" s="1"/>
  <c r="U817" i="2"/>
  <c r="V817" i="2" s="1"/>
  <c r="E819" i="3" s="1"/>
  <c r="U816" i="2"/>
  <c r="V816" i="2" s="1"/>
  <c r="E818" i="3" s="1"/>
  <c r="U815" i="2"/>
  <c r="V815" i="2" s="1"/>
  <c r="E817" i="3" s="1"/>
  <c r="U814" i="2"/>
  <c r="V814" i="2" s="1"/>
  <c r="E816" i="3" s="1"/>
  <c r="U813" i="2"/>
  <c r="V813" i="2" s="1"/>
  <c r="E815" i="3" s="1"/>
  <c r="U812" i="2"/>
  <c r="V812" i="2" s="1"/>
  <c r="E814" i="3" s="1"/>
  <c r="U811" i="2"/>
  <c r="V811" i="2" s="1"/>
  <c r="E813" i="3" s="1"/>
  <c r="U810" i="2"/>
  <c r="V810" i="2" s="1"/>
  <c r="E812" i="3" s="1"/>
  <c r="U809" i="2"/>
  <c r="V809" i="2" s="1"/>
  <c r="E811" i="3" s="1"/>
  <c r="U808" i="2"/>
  <c r="V808" i="2" s="1"/>
  <c r="E810" i="3" s="1"/>
  <c r="U807" i="2"/>
  <c r="V807" i="2" s="1"/>
  <c r="E809" i="3" s="1"/>
  <c r="U806" i="2"/>
  <c r="V806" i="2" s="1"/>
  <c r="E808" i="3" s="1"/>
  <c r="U805" i="2"/>
  <c r="V805" i="2" s="1"/>
  <c r="E807" i="3" s="1"/>
  <c r="U804" i="2"/>
  <c r="V804" i="2" s="1"/>
  <c r="E806" i="3" s="1"/>
  <c r="U803" i="2"/>
  <c r="V803" i="2" s="1"/>
  <c r="E805" i="3" s="1"/>
  <c r="U802" i="2"/>
  <c r="V802" i="2" s="1"/>
  <c r="E804" i="3" s="1"/>
  <c r="U801" i="2"/>
  <c r="V801" i="2" s="1"/>
  <c r="E803" i="3" s="1"/>
  <c r="U800" i="2"/>
  <c r="V800" i="2" s="1"/>
  <c r="E802" i="3" s="1"/>
  <c r="U799" i="2"/>
  <c r="V799" i="2" s="1"/>
  <c r="E801" i="3" s="1"/>
  <c r="U798" i="2"/>
  <c r="V798" i="2" s="1"/>
  <c r="E800" i="3" s="1"/>
  <c r="U797" i="2"/>
  <c r="V797" i="2" s="1"/>
  <c r="E799" i="3" s="1"/>
  <c r="U796" i="2"/>
  <c r="V796" i="2" s="1"/>
  <c r="E798" i="3" s="1"/>
  <c r="U795" i="2"/>
  <c r="V795" i="2" s="1"/>
  <c r="E797" i="3" s="1"/>
  <c r="U794" i="2"/>
  <c r="V794" i="2" s="1"/>
  <c r="E796" i="3" s="1"/>
  <c r="U793" i="2"/>
  <c r="V793" i="2" s="1"/>
  <c r="E795" i="3" s="1"/>
  <c r="U792" i="2"/>
  <c r="V792" i="2" s="1"/>
  <c r="E794" i="3" s="1"/>
  <c r="U791" i="2"/>
  <c r="V791" i="2" s="1"/>
  <c r="E793" i="3" s="1"/>
  <c r="U790" i="2"/>
  <c r="V790" i="2" s="1"/>
  <c r="E792" i="3" s="1"/>
  <c r="U789" i="2"/>
  <c r="V789" i="2" s="1"/>
  <c r="E791" i="3" s="1"/>
  <c r="U788" i="2"/>
  <c r="V788" i="2" s="1"/>
  <c r="E790" i="3" s="1"/>
  <c r="U787" i="2"/>
  <c r="V787" i="2" s="1"/>
  <c r="E789" i="3" s="1"/>
  <c r="U786" i="2"/>
  <c r="V786" i="2" s="1"/>
  <c r="E788" i="3" s="1"/>
  <c r="U785" i="2"/>
  <c r="V785" i="2" s="1"/>
  <c r="E787" i="3" s="1"/>
  <c r="U784" i="2"/>
  <c r="V784" i="2" s="1"/>
  <c r="E786" i="3" s="1"/>
  <c r="U783" i="2"/>
  <c r="V783" i="2" s="1"/>
  <c r="E785" i="3" s="1"/>
  <c r="U782" i="2"/>
  <c r="V782" i="2" s="1"/>
  <c r="E784" i="3" s="1"/>
  <c r="U781" i="2"/>
  <c r="V781" i="2" s="1"/>
  <c r="E783" i="3" s="1"/>
  <c r="U780" i="2"/>
  <c r="V780" i="2" s="1"/>
  <c r="E782" i="3" s="1"/>
  <c r="U779" i="2"/>
  <c r="V779" i="2" s="1"/>
  <c r="E781" i="3" s="1"/>
  <c r="U778" i="2"/>
  <c r="V778" i="2" s="1"/>
  <c r="E780" i="3" s="1"/>
  <c r="U777" i="2"/>
  <c r="V777" i="2" s="1"/>
  <c r="E779" i="3" s="1"/>
  <c r="U776" i="2"/>
  <c r="V776" i="2" s="1"/>
  <c r="E778" i="3" s="1"/>
  <c r="U775" i="2"/>
  <c r="V775" i="2" s="1"/>
  <c r="E777" i="3" s="1"/>
  <c r="U774" i="2"/>
  <c r="V774" i="2" s="1"/>
  <c r="E776" i="3" s="1"/>
  <c r="U773" i="2"/>
  <c r="V773" i="2" s="1"/>
  <c r="E775" i="3" s="1"/>
  <c r="U772" i="2"/>
  <c r="V772" i="2" s="1"/>
  <c r="E774" i="3" s="1"/>
  <c r="U771" i="2"/>
  <c r="V771" i="2" s="1"/>
  <c r="E773" i="3" s="1"/>
  <c r="U770" i="2"/>
  <c r="V770" i="2" s="1"/>
  <c r="E772" i="3" s="1"/>
  <c r="U769" i="2"/>
  <c r="V769" i="2" s="1"/>
  <c r="E771" i="3" s="1"/>
  <c r="U768" i="2"/>
  <c r="V768" i="2" s="1"/>
  <c r="E770" i="3" s="1"/>
  <c r="U767" i="2"/>
  <c r="V767" i="2" s="1"/>
  <c r="E769" i="3" s="1"/>
  <c r="U766" i="2"/>
  <c r="V766" i="2" s="1"/>
  <c r="E768" i="3" s="1"/>
  <c r="U765" i="2"/>
  <c r="V765" i="2" s="1"/>
  <c r="E767" i="3" s="1"/>
  <c r="U764" i="2"/>
  <c r="V764" i="2" s="1"/>
  <c r="E766" i="3" s="1"/>
  <c r="U763" i="2"/>
  <c r="V763" i="2" s="1"/>
  <c r="E765" i="3" s="1"/>
  <c r="U762" i="2"/>
  <c r="V762" i="2" s="1"/>
  <c r="E764" i="3" s="1"/>
  <c r="U761" i="2"/>
  <c r="V761" i="2" s="1"/>
  <c r="E763" i="3" s="1"/>
  <c r="U760" i="2"/>
  <c r="V760" i="2" s="1"/>
  <c r="E762" i="3" s="1"/>
  <c r="U759" i="2"/>
  <c r="V759" i="2" s="1"/>
  <c r="E761" i="3" s="1"/>
  <c r="U758" i="2"/>
  <c r="V758" i="2" s="1"/>
  <c r="E760" i="3" s="1"/>
  <c r="U757" i="2"/>
  <c r="V757" i="2" s="1"/>
  <c r="E759" i="3" s="1"/>
  <c r="U756" i="2"/>
  <c r="V756" i="2" s="1"/>
  <c r="E758" i="3" s="1"/>
  <c r="U755" i="2"/>
  <c r="V755" i="2" s="1"/>
  <c r="E757" i="3" s="1"/>
  <c r="U754" i="2"/>
  <c r="V754" i="2" s="1"/>
  <c r="E756" i="3" s="1"/>
  <c r="U753" i="2"/>
  <c r="V753" i="2" s="1"/>
  <c r="E755" i="3" s="1"/>
  <c r="U752" i="2"/>
  <c r="V752" i="2" s="1"/>
  <c r="E754" i="3" s="1"/>
  <c r="U751" i="2"/>
  <c r="V751" i="2" s="1"/>
  <c r="E753" i="3" s="1"/>
  <c r="U750" i="2"/>
  <c r="V750" i="2" s="1"/>
  <c r="E752" i="3" s="1"/>
  <c r="U749" i="2"/>
  <c r="V749" i="2" s="1"/>
  <c r="E751" i="3" s="1"/>
  <c r="U748" i="2"/>
  <c r="V748" i="2" s="1"/>
  <c r="E750" i="3" s="1"/>
  <c r="U747" i="2"/>
  <c r="V747" i="2" s="1"/>
  <c r="E749" i="3" s="1"/>
  <c r="U746" i="2"/>
  <c r="V746" i="2" s="1"/>
  <c r="E748" i="3" s="1"/>
  <c r="U745" i="2"/>
  <c r="V745" i="2" s="1"/>
  <c r="E747" i="3" s="1"/>
  <c r="U744" i="2"/>
  <c r="V744" i="2" s="1"/>
  <c r="E746" i="3" s="1"/>
  <c r="U743" i="2"/>
  <c r="V743" i="2" s="1"/>
  <c r="E745" i="3" s="1"/>
  <c r="U742" i="2"/>
  <c r="V742" i="2" s="1"/>
  <c r="E744" i="3" s="1"/>
  <c r="U741" i="2"/>
  <c r="V741" i="2" s="1"/>
  <c r="E743" i="3" s="1"/>
  <c r="U740" i="2"/>
  <c r="V740" i="2" s="1"/>
  <c r="E742" i="3" s="1"/>
  <c r="U739" i="2"/>
  <c r="V739" i="2" s="1"/>
  <c r="E741" i="3" s="1"/>
  <c r="U738" i="2"/>
  <c r="V738" i="2" s="1"/>
  <c r="E740" i="3" s="1"/>
  <c r="U737" i="2"/>
  <c r="V737" i="2" s="1"/>
  <c r="E739" i="3" s="1"/>
  <c r="U736" i="2"/>
  <c r="V736" i="2" s="1"/>
  <c r="E738" i="3" s="1"/>
  <c r="U735" i="2"/>
  <c r="V735" i="2" s="1"/>
  <c r="E737" i="3" s="1"/>
  <c r="U734" i="2"/>
  <c r="V734" i="2" s="1"/>
  <c r="E736" i="3" s="1"/>
  <c r="U733" i="2"/>
  <c r="V733" i="2" s="1"/>
  <c r="E735" i="3" s="1"/>
  <c r="U732" i="2"/>
  <c r="V732" i="2" s="1"/>
  <c r="E734" i="3" s="1"/>
  <c r="U731" i="2"/>
  <c r="V731" i="2" s="1"/>
  <c r="E733" i="3" s="1"/>
  <c r="U730" i="2"/>
  <c r="V730" i="2" s="1"/>
  <c r="E732" i="3" s="1"/>
  <c r="U729" i="2"/>
  <c r="V729" i="2" s="1"/>
  <c r="E731" i="3" s="1"/>
  <c r="U728" i="2"/>
  <c r="V728" i="2" s="1"/>
  <c r="E730" i="3" s="1"/>
  <c r="U727" i="2"/>
  <c r="V727" i="2" s="1"/>
  <c r="E729" i="3" s="1"/>
  <c r="U726" i="2"/>
  <c r="V726" i="2" s="1"/>
  <c r="E728" i="3" s="1"/>
  <c r="U725" i="2"/>
  <c r="V725" i="2" s="1"/>
  <c r="E727" i="3" s="1"/>
  <c r="U724" i="2"/>
  <c r="V724" i="2" s="1"/>
  <c r="E726" i="3" s="1"/>
  <c r="U723" i="2"/>
  <c r="V723" i="2" s="1"/>
  <c r="E725" i="3" s="1"/>
  <c r="U722" i="2"/>
  <c r="V722" i="2" s="1"/>
  <c r="E724" i="3" s="1"/>
  <c r="U721" i="2"/>
  <c r="V721" i="2" s="1"/>
  <c r="E723" i="3" s="1"/>
  <c r="U720" i="2"/>
  <c r="V720" i="2" s="1"/>
  <c r="E722" i="3" s="1"/>
  <c r="U719" i="2"/>
  <c r="V719" i="2" s="1"/>
  <c r="E721" i="3" s="1"/>
  <c r="U718" i="2"/>
  <c r="V718" i="2" s="1"/>
  <c r="E720" i="3" s="1"/>
  <c r="U717" i="2"/>
  <c r="V717" i="2" s="1"/>
  <c r="E719" i="3" s="1"/>
  <c r="U716" i="2"/>
  <c r="V716" i="2" s="1"/>
  <c r="E718" i="3" s="1"/>
  <c r="U715" i="2"/>
  <c r="V715" i="2" s="1"/>
  <c r="E717" i="3" s="1"/>
  <c r="U714" i="2"/>
  <c r="V714" i="2" s="1"/>
  <c r="E716" i="3" s="1"/>
  <c r="U713" i="2"/>
  <c r="V713" i="2" s="1"/>
  <c r="E715" i="3" s="1"/>
  <c r="U712" i="2"/>
  <c r="V712" i="2" s="1"/>
  <c r="E714" i="3" s="1"/>
  <c r="U711" i="2"/>
  <c r="V711" i="2" s="1"/>
  <c r="E713" i="3" s="1"/>
  <c r="U710" i="2"/>
  <c r="V710" i="2" s="1"/>
  <c r="E712" i="3" s="1"/>
  <c r="U709" i="2"/>
  <c r="V709" i="2" s="1"/>
  <c r="E711" i="3" s="1"/>
  <c r="U708" i="2"/>
  <c r="V708" i="2" s="1"/>
  <c r="E710" i="3" s="1"/>
  <c r="U707" i="2"/>
  <c r="V707" i="2" s="1"/>
  <c r="E709" i="3" s="1"/>
  <c r="U706" i="2"/>
  <c r="V706" i="2" s="1"/>
  <c r="E708" i="3" s="1"/>
  <c r="U705" i="2"/>
  <c r="V705" i="2" s="1"/>
  <c r="E707" i="3" s="1"/>
  <c r="U704" i="2"/>
  <c r="V704" i="2" s="1"/>
  <c r="E706" i="3" s="1"/>
  <c r="U703" i="2"/>
  <c r="V703" i="2" s="1"/>
  <c r="E705" i="3" s="1"/>
  <c r="U702" i="2"/>
  <c r="V702" i="2" s="1"/>
  <c r="E704" i="3" s="1"/>
  <c r="U701" i="2"/>
  <c r="V701" i="2" s="1"/>
  <c r="E703" i="3" s="1"/>
  <c r="U700" i="2"/>
  <c r="V700" i="2" s="1"/>
  <c r="E702" i="3" s="1"/>
  <c r="U699" i="2"/>
  <c r="V699" i="2" s="1"/>
  <c r="E701" i="3" s="1"/>
  <c r="U698" i="2"/>
  <c r="V698" i="2" s="1"/>
  <c r="E700" i="3" s="1"/>
  <c r="U697" i="2"/>
  <c r="V697" i="2" s="1"/>
  <c r="E699" i="3" s="1"/>
  <c r="U696" i="2"/>
  <c r="V696" i="2" s="1"/>
  <c r="E698" i="3" s="1"/>
  <c r="U695" i="2"/>
  <c r="V695" i="2" s="1"/>
  <c r="E697" i="3" s="1"/>
  <c r="U694" i="2"/>
  <c r="V694" i="2" s="1"/>
  <c r="E696" i="3" s="1"/>
  <c r="U693" i="2"/>
  <c r="V693" i="2" s="1"/>
  <c r="E695" i="3" s="1"/>
  <c r="U692" i="2"/>
  <c r="V692" i="2" s="1"/>
  <c r="E694" i="3" s="1"/>
  <c r="U691" i="2"/>
  <c r="V691" i="2" s="1"/>
  <c r="E693" i="3" s="1"/>
  <c r="U690" i="2"/>
  <c r="V690" i="2" s="1"/>
  <c r="E692" i="3" s="1"/>
  <c r="U689" i="2"/>
  <c r="V689" i="2" s="1"/>
  <c r="E691" i="3" s="1"/>
  <c r="U688" i="2"/>
  <c r="V688" i="2" s="1"/>
  <c r="E690" i="3" s="1"/>
  <c r="U687" i="2"/>
  <c r="V687" i="2" s="1"/>
  <c r="E689" i="3" s="1"/>
  <c r="U686" i="2"/>
  <c r="V686" i="2" s="1"/>
  <c r="E688" i="3" s="1"/>
  <c r="U685" i="2"/>
  <c r="V685" i="2" s="1"/>
  <c r="E687" i="3" s="1"/>
  <c r="U684" i="2"/>
  <c r="V684" i="2" s="1"/>
  <c r="E686" i="3" s="1"/>
  <c r="U683" i="2"/>
  <c r="V683" i="2" s="1"/>
  <c r="E685" i="3" s="1"/>
  <c r="U682" i="2"/>
  <c r="V682" i="2" s="1"/>
  <c r="E684" i="3" s="1"/>
  <c r="U681" i="2"/>
  <c r="V681" i="2" s="1"/>
  <c r="E683" i="3" s="1"/>
  <c r="U680" i="2"/>
  <c r="V680" i="2" s="1"/>
  <c r="E682" i="3" s="1"/>
  <c r="U679" i="2"/>
  <c r="V679" i="2" s="1"/>
  <c r="E681" i="3" s="1"/>
  <c r="U678" i="2"/>
  <c r="V678" i="2" s="1"/>
  <c r="E680" i="3" s="1"/>
  <c r="U677" i="2"/>
  <c r="V677" i="2" s="1"/>
  <c r="E679" i="3" s="1"/>
  <c r="U676" i="2"/>
  <c r="V676" i="2" s="1"/>
  <c r="E678" i="3" s="1"/>
  <c r="U675" i="2"/>
  <c r="V675" i="2" s="1"/>
  <c r="E677" i="3" s="1"/>
  <c r="U674" i="2"/>
  <c r="V674" i="2" s="1"/>
  <c r="E676" i="3" s="1"/>
  <c r="U673" i="2"/>
  <c r="V673" i="2" s="1"/>
  <c r="E675" i="3" s="1"/>
  <c r="U672" i="2"/>
  <c r="V672" i="2" s="1"/>
  <c r="E674" i="3" s="1"/>
  <c r="U671" i="2"/>
  <c r="V671" i="2" s="1"/>
  <c r="E673" i="3" s="1"/>
  <c r="U670" i="2"/>
  <c r="V670" i="2" s="1"/>
  <c r="E672" i="3" s="1"/>
  <c r="U669" i="2"/>
  <c r="V669" i="2" s="1"/>
  <c r="E671" i="3" s="1"/>
  <c r="U668" i="2"/>
  <c r="V668" i="2" s="1"/>
  <c r="E670" i="3" s="1"/>
  <c r="U667" i="2"/>
  <c r="V667" i="2" s="1"/>
  <c r="E669" i="3" s="1"/>
  <c r="U666" i="2"/>
  <c r="V666" i="2" s="1"/>
  <c r="E668" i="3" s="1"/>
  <c r="U665" i="2"/>
  <c r="V665" i="2" s="1"/>
  <c r="E667" i="3" s="1"/>
  <c r="U664" i="2"/>
  <c r="V664" i="2" s="1"/>
  <c r="E666" i="3" s="1"/>
  <c r="U663" i="2"/>
  <c r="V663" i="2" s="1"/>
  <c r="E665" i="3" s="1"/>
  <c r="U662" i="2"/>
  <c r="V662" i="2" s="1"/>
  <c r="E664" i="3" s="1"/>
  <c r="U661" i="2"/>
  <c r="V661" i="2" s="1"/>
  <c r="E663" i="3" s="1"/>
  <c r="U660" i="2"/>
  <c r="V660" i="2" s="1"/>
  <c r="E662" i="3" s="1"/>
  <c r="U659" i="2"/>
  <c r="V659" i="2" s="1"/>
  <c r="E661" i="3" s="1"/>
  <c r="U658" i="2"/>
  <c r="V658" i="2" s="1"/>
  <c r="E660" i="3" s="1"/>
  <c r="U657" i="2"/>
  <c r="V657" i="2" s="1"/>
  <c r="E659" i="3" s="1"/>
  <c r="U656" i="2"/>
  <c r="V656" i="2" s="1"/>
  <c r="E658" i="3" s="1"/>
  <c r="U655" i="2"/>
  <c r="V655" i="2" s="1"/>
  <c r="E657" i="3" s="1"/>
  <c r="U654" i="2"/>
  <c r="V654" i="2" s="1"/>
  <c r="E656" i="3" s="1"/>
  <c r="U653" i="2"/>
  <c r="V653" i="2" s="1"/>
  <c r="E655" i="3" s="1"/>
  <c r="U652" i="2"/>
  <c r="V652" i="2" s="1"/>
  <c r="E654" i="3" s="1"/>
  <c r="U651" i="2"/>
  <c r="V651" i="2" s="1"/>
  <c r="E653" i="3" s="1"/>
  <c r="U650" i="2"/>
  <c r="V650" i="2" s="1"/>
  <c r="E652" i="3" s="1"/>
  <c r="U649" i="2"/>
  <c r="V649" i="2" s="1"/>
  <c r="E651" i="3" s="1"/>
  <c r="U648" i="2"/>
  <c r="V648" i="2" s="1"/>
  <c r="E650" i="3" s="1"/>
  <c r="U647" i="2"/>
  <c r="V647" i="2" s="1"/>
  <c r="E649" i="3" s="1"/>
  <c r="U646" i="2"/>
  <c r="V646" i="2" s="1"/>
  <c r="E648" i="3" s="1"/>
  <c r="U645" i="2"/>
  <c r="V645" i="2" s="1"/>
  <c r="E647" i="3" s="1"/>
  <c r="U644" i="2"/>
  <c r="V644" i="2" s="1"/>
  <c r="E646" i="3" s="1"/>
  <c r="U643" i="2"/>
  <c r="V643" i="2" s="1"/>
  <c r="E645" i="3" s="1"/>
  <c r="U642" i="2"/>
  <c r="V642" i="2" s="1"/>
  <c r="E644" i="3" s="1"/>
  <c r="U641" i="2"/>
  <c r="V641" i="2" s="1"/>
  <c r="E643" i="3" s="1"/>
  <c r="U640" i="2"/>
  <c r="V640" i="2" s="1"/>
  <c r="E642" i="3" s="1"/>
  <c r="U639" i="2"/>
  <c r="V639" i="2" s="1"/>
  <c r="E641" i="3" s="1"/>
  <c r="U638" i="2"/>
  <c r="V638" i="2" s="1"/>
  <c r="E640" i="3" s="1"/>
  <c r="U637" i="2"/>
  <c r="V637" i="2" s="1"/>
  <c r="E639" i="3" s="1"/>
  <c r="U636" i="2"/>
  <c r="V636" i="2" s="1"/>
  <c r="E638" i="3" s="1"/>
  <c r="U635" i="2"/>
  <c r="V635" i="2" s="1"/>
  <c r="E637" i="3" s="1"/>
  <c r="U634" i="2"/>
  <c r="V634" i="2" s="1"/>
  <c r="E636" i="3" s="1"/>
  <c r="U633" i="2"/>
  <c r="V633" i="2" s="1"/>
  <c r="E635" i="3" s="1"/>
  <c r="U632" i="2"/>
  <c r="V632" i="2" s="1"/>
  <c r="E634" i="3" s="1"/>
  <c r="U631" i="2"/>
  <c r="V631" i="2" s="1"/>
  <c r="E633" i="3" s="1"/>
  <c r="U630" i="2"/>
  <c r="V630" i="2" s="1"/>
  <c r="E632" i="3" s="1"/>
  <c r="U629" i="2"/>
  <c r="V629" i="2" s="1"/>
  <c r="E631" i="3" s="1"/>
  <c r="U628" i="2"/>
  <c r="V628" i="2" s="1"/>
  <c r="E630" i="3" s="1"/>
  <c r="U627" i="2"/>
  <c r="V627" i="2" s="1"/>
  <c r="E629" i="3" s="1"/>
  <c r="U626" i="2"/>
  <c r="V626" i="2" s="1"/>
  <c r="E628" i="3" s="1"/>
  <c r="U625" i="2"/>
  <c r="V625" i="2" s="1"/>
  <c r="E627" i="3" s="1"/>
  <c r="U624" i="2"/>
  <c r="V624" i="2" s="1"/>
  <c r="E626" i="3" s="1"/>
  <c r="U623" i="2"/>
  <c r="V623" i="2" s="1"/>
  <c r="E625" i="3" s="1"/>
  <c r="U622" i="2"/>
  <c r="V622" i="2" s="1"/>
  <c r="E624" i="3" s="1"/>
  <c r="U621" i="2"/>
  <c r="V621" i="2" s="1"/>
  <c r="E623" i="3" s="1"/>
  <c r="U620" i="2"/>
  <c r="V620" i="2" s="1"/>
  <c r="E622" i="3" s="1"/>
  <c r="U619" i="2"/>
  <c r="V619" i="2" s="1"/>
  <c r="E621" i="3" s="1"/>
  <c r="U618" i="2"/>
  <c r="V618" i="2" s="1"/>
  <c r="E620" i="3" s="1"/>
  <c r="U617" i="2"/>
  <c r="V617" i="2" s="1"/>
  <c r="E619" i="3" s="1"/>
  <c r="U616" i="2"/>
  <c r="V616" i="2" s="1"/>
  <c r="E618" i="3" s="1"/>
  <c r="U615" i="2"/>
  <c r="V615" i="2" s="1"/>
  <c r="E617" i="3" s="1"/>
  <c r="U614" i="2"/>
  <c r="V614" i="2" s="1"/>
  <c r="E616" i="3" s="1"/>
  <c r="U613" i="2"/>
  <c r="V613" i="2" s="1"/>
  <c r="E615" i="3" s="1"/>
  <c r="U612" i="2"/>
  <c r="V612" i="2" s="1"/>
  <c r="E614" i="3" s="1"/>
  <c r="U611" i="2"/>
  <c r="V611" i="2" s="1"/>
  <c r="E613" i="3" s="1"/>
  <c r="U610" i="2"/>
  <c r="V610" i="2" s="1"/>
  <c r="E612" i="3" s="1"/>
  <c r="U609" i="2"/>
  <c r="V609" i="2" s="1"/>
  <c r="E611" i="3" s="1"/>
  <c r="U608" i="2"/>
  <c r="V608" i="2" s="1"/>
  <c r="E610" i="3" s="1"/>
  <c r="U607" i="2"/>
  <c r="V607" i="2" s="1"/>
  <c r="E609" i="3" s="1"/>
  <c r="U606" i="2"/>
  <c r="V606" i="2" s="1"/>
  <c r="E608" i="3" s="1"/>
  <c r="U605" i="2"/>
  <c r="V605" i="2" s="1"/>
  <c r="E607" i="3" s="1"/>
  <c r="U604" i="2"/>
  <c r="V604" i="2" s="1"/>
  <c r="E606" i="3" s="1"/>
  <c r="U603" i="2"/>
  <c r="V603" i="2" s="1"/>
  <c r="E605" i="3" s="1"/>
  <c r="U602" i="2"/>
  <c r="V602" i="2" s="1"/>
  <c r="E604" i="3" s="1"/>
  <c r="U601" i="2"/>
  <c r="V601" i="2" s="1"/>
  <c r="E603" i="3" s="1"/>
  <c r="U600" i="2"/>
  <c r="V600" i="2" s="1"/>
  <c r="E602" i="3" s="1"/>
  <c r="U599" i="2"/>
  <c r="V599" i="2" s="1"/>
  <c r="E601" i="3" s="1"/>
  <c r="U598" i="2"/>
  <c r="V598" i="2" s="1"/>
  <c r="E600" i="3" s="1"/>
  <c r="U597" i="2"/>
  <c r="V597" i="2" s="1"/>
  <c r="E599" i="3" s="1"/>
  <c r="U596" i="2"/>
  <c r="V596" i="2" s="1"/>
  <c r="E598" i="3" s="1"/>
  <c r="U595" i="2"/>
  <c r="V595" i="2" s="1"/>
  <c r="E597" i="3" s="1"/>
  <c r="U594" i="2"/>
  <c r="V594" i="2" s="1"/>
  <c r="E596" i="3" s="1"/>
  <c r="U593" i="2"/>
  <c r="V593" i="2" s="1"/>
  <c r="E595" i="3" s="1"/>
  <c r="U592" i="2"/>
  <c r="V592" i="2" s="1"/>
  <c r="E594" i="3" s="1"/>
  <c r="U591" i="2"/>
  <c r="V591" i="2" s="1"/>
  <c r="E593" i="3" s="1"/>
  <c r="U590" i="2"/>
  <c r="V590" i="2" s="1"/>
  <c r="E592" i="3" s="1"/>
  <c r="U589" i="2"/>
  <c r="V589" i="2" s="1"/>
  <c r="E591" i="3" s="1"/>
  <c r="U588" i="2"/>
  <c r="V588" i="2" s="1"/>
  <c r="E590" i="3" s="1"/>
  <c r="U587" i="2"/>
  <c r="V587" i="2" s="1"/>
  <c r="E589" i="3" s="1"/>
  <c r="U586" i="2"/>
  <c r="V586" i="2" s="1"/>
  <c r="E588" i="3" s="1"/>
  <c r="U585" i="2"/>
  <c r="V585" i="2" s="1"/>
  <c r="E587" i="3" s="1"/>
  <c r="U584" i="2"/>
  <c r="V584" i="2" s="1"/>
  <c r="E586" i="3" s="1"/>
  <c r="U583" i="2"/>
  <c r="V583" i="2" s="1"/>
  <c r="E585" i="3" s="1"/>
  <c r="U582" i="2"/>
  <c r="V582" i="2" s="1"/>
  <c r="E584" i="3" s="1"/>
  <c r="U581" i="2"/>
  <c r="V581" i="2" s="1"/>
  <c r="E583" i="3" s="1"/>
  <c r="U580" i="2"/>
  <c r="V580" i="2" s="1"/>
  <c r="E582" i="3" s="1"/>
  <c r="U579" i="2"/>
  <c r="V579" i="2" s="1"/>
  <c r="E581" i="3" s="1"/>
  <c r="U578" i="2"/>
  <c r="V578" i="2" s="1"/>
  <c r="E580" i="3" s="1"/>
  <c r="U577" i="2"/>
  <c r="V577" i="2" s="1"/>
  <c r="E579" i="3" s="1"/>
  <c r="U576" i="2"/>
  <c r="V576" i="2" s="1"/>
  <c r="E578" i="3" s="1"/>
  <c r="U575" i="2"/>
  <c r="V575" i="2" s="1"/>
  <c r="E577" i="3" s="1"/>
  <c r="U574" i="2"/>
  <c r="V574" i="2" s="1"/>
  <c r="E576" i="3" s="1"/>
  <c r="U573" i="2"/>
  <c r="V573" i="2" s="1"/>
  <c r="E575" i="3" s="1"/>
  <c r="U572" i="2"/>
  <c r="V572" i="2" s="1"/>
  <c r="E574" i="3" s="1"/>
  <c r="U571" i="2"/>
  <c r="V571" i="2" s="1"/>
  <c r="E573" i="3" s="1"/>
  <c r="U570" i="2"/>
  <c r="V570" i="2" s="1"/>
  <c r="E572" i="3" s="1"/>
  <c r="U569" i="2"/>
  <c r="V569" i="2" s="1"/>
  <c r="E571" i="3" s="1"/>
  <c r="U568" i="2"/>
  <c r="V568" i="2" s="1"/>
  <c r="E570" i="3" s="1"/>
  <c r="U567" i="2"/>
  <c r="V567" i="2" s="1"/>
  <c r="E569" i="3" s="1"/>
  <c r="U566" i="2"/>
  <c r="V566" i="2" s="1"/>
  <c r="E568" i="3" s="1"/>
  <c r="U565" i="2"/>
  <c r="V565" i="2" s="1"/>
  <c r="E567" i="3" s="1"/>
  <c r="U564" i="2"/>
  <c r="V564" i="2" s="1"/>
  <c r="E566" i="3" s="1"/>
  <c r="U563" i="2"/>
  <c r="V563" i="2" s="1"/>
  <c r="E565" i="3" s="1"/>
  <c r="U562" i="2"/>
  <c r="V562" i="2" s="1"/>
  <c r="E564" i="3" s="1"/>
  <c r="U561" i="2"/>
  <c r="V561" i="2" s="1"/>
  <c r="E563" i="3" s="1"/>
  <c r="U560" i="2"/>
  <c r="V560" i="2" s="1"/>
  <c r="E562" i="3" s="1"/>
  <c r="U559" i="2"/>
  <c r="V559" i="2" s="1"/>
  <c r="E561" i="3" s="1"/>
  <c r="U558" i="2"/>
  <c r="V558" i="2" s="1"/>
  <c r="E560" i="3" s="1"/>
  <c r="U557" i="2"/>
  <c r="V557" i="2" s="1"/>
  <c r="E559" i="3" s="1"/>
  <c r="U556" i="2"/>
  <c r="V556" i="2" s="1"/>
  <c r="E558" i="3" s="1"/>
  <c r="U555" i="2"/>
  <c r="V555" i="2" s="1"/>
  <c r="E557" i="3" s="1"/>
  <c r="U554" i="2"/>
  <c r="V554" i="2" s="1"/>
  <c r="E556" i="3" s="1"/>
  <c r="U553" i="2"/>
  <c r="V553" i="2" s="1"/>
  <c r="E555" i="3" s="1"/>
  <c r="U552" i="2"/>
  <c r="V552" i="2" s="1"/>
  <c r="E554" i="3" s="1"/>
  <c r="U551" i="2"/>
  <c r="V551" i="2" s="1"/>
  <c r="E553" i="3" s="1"/>
  <c r="U550" i="2"/>
  <c r="V550" i="2" s="1"/>
  <c r="E552" i="3" s="1"/>
  <c r="U549" i="2"/>
  <c r="V549" i="2" s="1"/>
  <c r="E551" i="3" s="1"/>
  <c r="U548" i="2"/>
  <c r="V548" i="2" s="1"/>
  <c r="E550" i="3" s="1"/>
  <c r="U547" i="2"/>
  <c r="V547" i="2" s="1"/>
  <c r="E549" i="3" s="1"/>
  <c r="U546" i="2"/>
  <c r="V546" i="2" s="1"/>
  <c r="E548" i="3" s="1"/>
  <c r="U545" i="2"/>
  <c r="V545" i="2" s="1"/>
  <c r="E547" i="3" s="1"/>
  <c r="U544" i="2"/>
  <c r="V544" i="2" s="1"/>
  <c r="E546" i="3" s="1"/>
  <c r="U543" i="2"/>
  <c r="V543" i="2" s="1"/>
  <c r="E545" i="3" s="1"/>
  <c r="U542" i="2"/>
  <c r="V542" i="2" s="1"/>
  <c r="E544" i="3" s="1"/>
  <c r="U541" i="2"/>
  <c r="V541" i="2" s="1"/>
  <c r="E543" i="3" s="1"/>
  <c r="U540" i="2"/>
  <c r="V540" i="2" s="1"/>
  <c r="E542" i="3" s="1"/>
  <c r="U539" i="2"/>
  <c r="V539" i="2" s="1"/>
  <c r="E541" i="3" s="1"/>
  <c r="U538" i="2"/>
  <c r="V538" i="2" s="1"/>
  <c r="E540" i="3" s="1"/>
  <c r="U537" i="2"/>
  <c r="V537" i="2" s="1"/>
  <c r="E539" i="3" s="1"/>
  <c r="U536" i="2"/>
  <c r="V536" i="2" s="1"/>
  <c r="E538" i="3" s="1"/>
  <c r="U535" i="2"/>
  <c r="V535" i="2" s="1"/>
  <c r="E537" i="3" s="1"/>
  <c r="U534" i="2"/>
  <c r="V534" i="2" s="1"/>
  <c r="E536" i="3" s="1"/>
  <c r="U533" i="2"/>
  <c r="V533" i="2" s="1"/>
  <c r="E535" i="3" s="1"/>
  <c r="U532" i="2"/>
  <c r="V532" i="2" s="1"/>
  <c r="E534" i="3" s="1"/>
  <c r="U531" i="2"/>
  <c r="V531" i="2" s="1"/>
  <c r="E533" i="3" s="1"/>
  <c r="U530" i="2"/>
  <c r="V530" i="2" s="1"/>
  <c r="E532" i="3" s="1"/>
  <c r="U529" i="2"/>
  <c r="V529" i="2" s="1"/>
  <c r="E531" i="3" s="1"/>
  <c r="U528" i="2"/>
  <c r="V528" i="2" s="1"/>
  <c r="E530" i="3" s="1"/>
  <c r="U527" i="2"/>
  <c r="V527" i="2" s="1"/>
  <c r="E529" i="3" s="1"/>
  <c r="U526" i="2"/>
  <c r="V526" i="2" s="1"/>
  <c r="E528" i="3" s="1"/>
  <c r="U525" i="2"/>
  <c r="V525" i="2" s="1"/>
  <c r="E527" i="3" s="1"/>
  <c r="U524" i="2"/>
  <c r="V524" i="2" s="1"/>
  <c r="E526" i="3" s="1"/>
  <c r="U523" i="2"/>
  <c r="V523" i="2" s="1"/>
  <c r="E525" i="3" s="1"/>
  <c r="U522" i="2"/>
  <c r="V522" i="2" s="1"/>
  <c r="E524" i="3" s="1"/>
  <c r="U521" i="2"/>
  <c r="V521" i="2" s="1"/>
  <c r="E523" i="3" s="1"/>
  <c r="U520" i="2"/>
  <c r="V520" i="2" s="1"/>
  <c r="E522" i="3" s="1"/>
  <c r="U519" i="2"/>
  <c r="V519" i="2" s="1"/>
  <c r="E521" i="3" s="1"/>
  <c r="U518" i="2"/>
  <c r="V518" i="2" s="1"/>
  <c r="E520" i="3" s="1"/>
  <c r="U517" i="2"/>
  <c r="V517" i="2" s="1"/>
  <c r="E519" i="3" s="1"/>
  <c r="U516" i="2"/>
  <c r="V516" i="2" s="1"/>
  <c r="E518" i="3" s="1"/>
  <c r="U515" i="2"/>
  <c r="V515" i="2" s="1"/>
  <c r="E517" i="3" s="1"/>
  <c r="U514" i="2"/>
  <c r="V514" i="2" s="1"/>
  <c r="E516" i="3" s="1"/>
  <c r="U513" i="2"/>
  <c r="V513" i="2" s="1"/>
  <c r="E515" i="3" s="1"/>
  <c r="U512" i="2"/>
  <c r="V512" i="2" s="1"/>
  <c r="E514" i="3" s="1"/>
  <c r="U511" i="2"/>
  <c r="V511" i="2" s="1"/>
  <c r="E513" i="3" s="1"/>
  <c r="U510" i="2"/>
  <c r="V510" i="2" s="1"/>
  <c r="E512" i="3" s="1"/>
  <c r="U509" i="2"/>
  <c r="V509" i="2" s="1"/>
  <c r="E511" i="3" s="1"/>
  <c r="U508" i="2"/>
  <c r="V508" i="2" s="1"/>
  <c r="E510" i="3" s="1"/>
  <c r="U507" i="2"/>
  <c r="V507" i="2" s="1"/>
  <c r="E509" i="3" s="1"/>
  <c r="U506" i="2"/>
  <c r="V506" i="2" s="1"/>
  <c r="E508" i="3" s="1"/>
  <c r="U505" i="2"/>
  <c r="V505" i="2" s="1"/>
  <c r="E507" i="3" s="1"/>
  <c r="U504" i="2"/>
  <c r="V504" i="2" s="1"/>
  <c r="E506" i="3" s="1"/>
  <c r="U503" i="2"/>
  <c r="V503" i="2" s="1"/>
  <c r="E505" i="3" s="1"/>
  <c r="U502" i="2"/>
  <c r="V502" i="2" s="1"/>
  <c r="E504" i="3" s="1"/>
  <c r="U501" i="2"/>
  <c r="V501" i="2" s="1"/>
  <c r="E503" i="3" s="1"/>
  <c r="U500" i="2"/>
  <c r="V500" i="2" s="1"/>
  <c r="E502" i="3" s="1"/>
  <c r="U499" i="2"/>
  <c r="V499" i="2" s="1"/>
  <c r="E501" i="3" s="1"/>
  <c r="U498" i="2"/>
  <c r="V498" i="2" s="1"/>
  <c r="E500" i="3" s="1"/>
  <c r="U497" i="2"/>
  <c r="V497" i="2" s="1"/>
  <c r="E499" i="3" s="1"/>
  <c r="U496" i="2"/>
  <c r="V496" i="2" s="1"/>
  <c r="E498" i="3" s="1"/>
  <c r="U495" i="2"/>
  <c r="V495" i="2" s="1"/>
  <c r="E497" i="3" s="1"/>
  <c r="U494" i="2"/>
  <c r="V494" i="2" s="1"/>
  <c r="E496" i="3" s="1"/>
  <c r="U493" i="2"/>
  <c r="V493" i="2" s="1"/>
  <c r="E495" i="3" s="1"/>
  <c r="U492" i="2"/>
  <c r="V492" i="2" s="1"/>
  <c r="E494" i="3" s="1"/>
  <c r="U491" i="2"/>
  <c r="V491" i="2" s="1"/>
  <c r="E493" i="3" s="1"/>
  <c r="U490" i="2"/>
  <c r="V490" i="2" s="1"/>
  <c r="E492" i="3" s="1"/>
  <c r="U489" i="2"/>
  <c r="V489" i="2" s="1"/>
  <c r="E491" i="3" s="1"/>
  <c r="U488" i="2"/>
  <c r="V488" i="2" s="1"/>
  <c r="E490" i="3" s="1"/>
  <c r="U487" i="2"/>
  <c r="V487" i="2" s="1"/>
  <c r="E489" i="3" s="1"/>
  <c r="U486" i="2"/>
  <c r="V486" i="2" s="1"/>
  <c r="E488" i="3" s="1"/>
  <c r="U485" i="2"/>
  <c r="V485" i="2" s="1"/>
  <c r="E487" i="3" s="1"/>
  <c r="U484" i="2"/>
  <c r="V484" i="2" s="1"/>
  <c r="E486" i="3" s="1"/>
  <c r="U483" i="2"/>
  <c r="V483" i="2" s="1"/>
  <c r="E485" i="3" s="1"/>
  <c r="U482" i="2"/>
  <c r="V482" i="2" s="1"/>
  <c r="E484" i="3" s="1"/>
  <c r="U481" i="2"/>
  <c r="V481" i="2" s="1"/>
  <c r="E483" i="3" s="1"/>
  <c r="U480" i="2"/>
  <c r="V480" i="2" s="1"/>
  <c r="E482" i="3" s="1"/>
  <c r="U479" i="2"/>
  <c r="V479" i="2" s="1"/>
  <c r="E481" i="3" s="1"/>
  <c r="U478" i="2"/>
  <c r="V478" i="2" s="1"/>
  <c r="E480" i="3" s="1"/>
  <c r="U477" i="2"/>
  <c r="V477" i="2" s="1"/>
  <c r="E479" i="3" s="1"/>
  <c r="U476" i="2"/>
  <c r="V476" i="2" s="1"/>
  <c r="E478" i="3" s="1"/>
  <c r="U475" i="2"/>
  <c r="V475" i="2" s="1"/>
  <c r="E477" i="3" s="1"/>
  <c r="U474" i="2"/>
  <c r="V474" i="2" s="1"/>
  <c r="E476" i="3" s="1"/>
  <c r="U473" i="2"/>
  <c r="V473" i="2" s="1"/>
  <c r="E475" i="3" s="1"/>
  <c r="U472" i="2"/>
  <c r="V472" i="2" s="1"/>
  <c r="E474" i="3" s="1"/>
  <c r="U471" i="2"/>
  <c r="V471" i="2" s="1"/>
  <c r="E473" i="3" s="1"/>
  <c r="U470" i="2"/>
  <c r="V470" i="2" s="1"/>
  <c r="E472" i="3" s="1"/>
  <c r="U469" i="2"/>
  <c r="V469" i="2" s="1"/>
  <c r="E471" i="3" s="1"/>
  <c r="U468" i="2"/>
  <c r="V468" i="2" s="1"/>
  <c r="E470" i="3" s="1"/>
  <c r="U467" i="2"/>
  <c r="V467" i="2" s="1"/>
  <c r="E469" i="3" s="1"/>
  <c r="U466" i="2"/>
  <c r="V466" i="2" s="1"/>
  <c r="E468" i="3" s="1"/>
  <c r="U465" i="2"/>
  <c r="V465" i="2" s="1"/>
  <c r="E467" i="3" s="1"/>
  <c r="U464" i="2"/>
  <c r="V464" i="2" s="1"/>
  <c r="E466" i="3" s="1"/>
  <c r="U463" i="2"/>
  <c r="V463" i="2" s="1"/>
  <c r="E465" i="3" s="1"/>
  <c r="U462" i="2"/>
  <c r="V462" i="2" s="1"/>
  <c r="E464" i="3" s="1"/>
  <c r="U461" i="2"/>
  <c r="V461" i="2" s="1"/>
  <c r="E463" i="3" s="1"/>
  <c r="U460" i="2"/>
  <c r="V460" i="2" s="1"/>
  <c r="E462" i="3" s="1"/>
  <c r="U459" i="2"/>
  <c r="V459" i="2" s="1"/>
  <c r="E461" i="3" s="1"/>
  <c r="U458" i="2"/>
  <c r="V458" i="2" s="1"/>
  <c r="E460" i="3" s="1"/>
  <c r="U457" i="2"/>
  <c r="V457" i="2" s="1"/>
  <c r="E459" i="3" s="1"/>
  <c r="U456" i="2"/>
  <c r="V456" i="2" s="1"/>
  <c r="E458" i="3" s="1"/>
  <c r="U455" i="2"/>
  <c r="V455" i="2" s="1"/>
  <c r="E457" i="3" s="1"/>
  <c r="U454" i="2"/>
  <c r="V454" i="2" s="1"/>
  <c r="E456" i="3" s="1"/>
  <c r="U453" i="2"/>
  <c r="V453" i="2" s="1"/>
  <c r="E455" i="3" s="1"/>
  <c r="U452" i="2"/>
  <c r="V452" i="2" s="1"/>
  <c r="E454" i="3" s="1"/>
  <c r="U451" i="2"/>
  <c r="V451" i="2" s="1"/>
  <c r="E453" i="3" s="1"/>
  <c r="U450" i="2"/>
  <c r="V450" i="2" s="1"/>
  <c r="E452" i="3" s="1"/>
  <c r="U449" i="2"/>
  <c r="V449" i="2" s="1"/>
  <c r="E451" i="3" s="1"/>
  <c r="U448" i="2"/>
  <c r="V448" i="2" s="1"/>
  <c r="E450" i="3" s="1"/>
  <c r="U447" i="2"/>
  <c r="V447" i="2" s="1"/>
  <c r="E449" i="3" s="1"/>
  <c r="U446" i="2"/>
  <c r="V446" i="2" s="1"/>
  <c r="E448" i="3" s="1"/>
  <c r="U445" i="2"/>
  <c r="V445" i="2" s="1"/>
  <c r="E447" i="3" s="1"/>
  <c r="U444" i="2"/>
  <c r="V444" i="2" s="1"/>
  <c r="E446" i="3" s="1"/>
  <c r="U443" i="2"/>
  <c r="V443" i="2" s="1"/>
  <c r="E445" i="3" s="1"/>
  <c r="U442" i="2"/>
  <c r="V442" i="2" s="1"/>
  <c r="E444" i="3" s="1"/>
  <c r="U441" i="2"/>
  <c r="V441" i="2" s="1"/>
  <c r="E443" i="3" s="1"/>
  <c r="U440" i="2"/>
  <c r="V440" i="2" s="1"/>
  <c r="E442" i="3" s="1"/>
  <c r="U439" i="2"/>
  <c r="V439" i="2" s="1"/>
  <c r="E441" i="3" s="1"/>
  <c r="U438" i="2"/>
  <c r="V438" i="2" s="1"/>
  <c r="E440" i="3" s="1"/>
  <c r="U437" i="2"/>
  <c r="V437" i="2" s="1"/>
  <c r="E439" i="3" s="1"/>
  <c r="U436" i="2"/>
  <c r="V436" i="2" s="1"/>
  <c r="E438" i="3" s="1"/>
  <c r="U435" i="2"/>
  <c r="V435" i="2" s="1"/>
  <c r="E437" i="3" s="1"/>
  <c r="U434" i="2"/>
  <c r="V434" i="2" s="1"/>
  <c r="E436" i="3" s="1"/>
  <c r="U433" i="2"/>
  <c r="V433" i="2" s="1"/>
  <c r="E435" i="3" s="1"/>
  <c r="U432" i="2"/>
  <c r="V432" i="2" s="1"/>
  <c r="E434" i="3" s="1"/>
  <c r="U431" i="2"/>
  <c r="V431" i="2" s="1"/>
  <c r="E433" i="3" s="1"/>
  <c r="U430" i="2"/>
  <c r="V430" i="2" s="1"/>
  <c r="E432" i="3" s="1"/>
  <c r="U429" i="2"/>
  <c r="V429" i="2" s="1"/>
  <c r="E431" i="3" s="1"/>
  <c r="U428" i="2"/>
  <c r="V428" i="2" s="1"/>
  <c r="E430" i="3" s="1"/>
  <c r="U427" i="2"/>
  <c r="V427" i="2" s="1"/>
  <c r="E429" i="3" s="1"/>
  <c r="U426" i="2"/>
  <c r="V426" i="2" s="1"/>
  <c r="E428" i="3" s="1"/>
  <c r="U425" i="2"/>
  <c r="V425" i="2" s="1"/>
  <c r="E427" i="3" s="1"/>
  <c r="U424" i="2"/>
  <c r="V424" i="2" s="1"/>
  <c r="E426" i="3" s="1"/>
  <c r="U423" i="2"/>
  <c r="V423" i="2" s="1"/>
  <c r="E425" i="3" s="1"/>
  <c r="U422" i="2"/>
  <c r="V422" i="2" s="1"/>
  <c r="E424" i="3" s="1"/>
  <c r="U421" i="2"/>
  <c r="V421" i="2" s="1"/>
  <c r="E423" i="3" s="1"/>
  <c r="U420" i="2"/>
  <c r="V420" i="2" s="1"/>
  <c r="E422" i="3" s="1"/>
  <c r="U419" i="2"/>
  <c r="V419" i="2" s="1"/>
  <c r="E421" i="3" s="1"/>
  <c r="U418" i="2"/>
  <c r="V418" i="2" s="1"/>
  <c r="E420" i="3" s="1"/>
  <c r="U417" i="2"/>
  <c r="V417" i="2" s="1"/>
  <c r="E419" i="3" s="1"/>
  <c r="U416" i="2"/>
  <c r="V416" i="2" s="1"/>
  <c r="E418" i="3" s="1"/>
  <c r="U415" i="2"/>
  <c r="V415" i="2" s="1"/>
  <c r="E417" i="3" s="1"/>
  <c r="U414" i="2"/>
  <c r="V414" i="2" s="1"/>
  <c r="E416" i="3" s="1"/>
  <c r="U413" i="2"/>
  <c r="V413" i="2" s="1"/>
  <c r="E415" i="3" s="1"/>
  <c r="U412" i="2"/>
  <c r="V412" i="2" s="1"/>
  <c r="E414" i="3" s="1"/>
  <c r="U411" i="2"/>
  <c r="V411" i="2" s="1"/>
  <c r="E413" i="3" s="1"/>
  <c r="U410" i="2"/>
  <c r="V410" i="2" s="1"/>
  <c r="E412" i="3" s="1"/>
  <c r="U409" i="2"/>
  <c r="V409" i="2" s="1"/>
  <c r="E411" i="3" s="1"/>
  <c r="U408" i="2"/>
  <c r="V408" i="2" s="1"/>
  <c r="E410" i="3" s="1"/>
  <c r="U407" i="2"/>
  <c r="V407" i="2" s="1"/>
  <c r="E409" i="3" s="1"/>
  <c r="U406" i="2"/>
  <c r="V406" i="2" s="1"/>
  <c r="E408" i="3" s="1"/>
  <c r="U405" i="2"/>
  <c r="V405" i="2" s="1"/>
  <c r="E407" i="3" s="1"/>
  <c r="U404" i="2"/>
  <c r="V404" i="2" s="1"/>
  <c r="E406" i="3" s="1"/>
  <c r="U403" i="2"/>
  <c r="V403" i="2" s="1"/>
  <c r="E405" i="3" s="1"/>
  <c r="U402" i="2"/>
  <c r="V402" i="2" s="1"/>
  <c r="E404" i="3" s="1"/>
  <c r="U401" i="2"/>
  <c r="V401" i="2" s="1"/>
  <c r="E403" i="3" s="1"/>
  <c r="U400" i="2"/>
  <c r="V400" i="2" s="1"/>
  <c r="E402" i="3" s="1"/>
  <c r="U399" i="2"/>
  <c r="V399" i="2" s="1"/>
  <c r="E401" i="3" s="1"/>
  <c r="U398" i="2"/>
  <c r="V398" i="2" s="1"/>
  <c r="E400" i="3" s="1"/>
  <c r="U397" i="2"/>
  <c r="V397" i="2" s="1"/>
  <c r="E399" i="3" s="1"/>
  <c r="U396" i="2"/>
  <c r="V396" i="2" s="1"/>
  <c r="E398" i="3" s="1"/>
  <c r="U395" i="2"/>
  <c r="V395" i="2" s="1"/>
  <c r="E397" i="3" s="1"/>
  <c r="U394" i="2"/>
  <c r="V394" i="2" s="1"/>
  <c r="E396" i="3" s="1"/>
  <c r="U393" i="2"/>
  <c r="V393" i="2" s="1"/>
  <c r="E395" i="3" s="1"/>
  <c r="U392" i="2"/>
  <c r="V392" i="2" s="1"/>
  <c r="E394" i="3" s="1"/>
  <c r="U391" i="2"/>
  <c r="V391" i="2" s="1"/>
  <c r="E393" i="3" s="1"/>
  <c r="U390" i="2"/>
  <c r="V390" i="2" s="1"/>
  <c r="E392" i="3" s="1"/>
  <c r="U389" i="2"/>
  <c r="V389" i="2" s="1"/>
  <c r="E391" i="3" s="1"/>
  <c r="U388" i="2"/>
  <c r="V388" i="2" s="1"/>
  <c r="E390" i="3" s="1"/>
  <c r="U387" i="2"/>
  <c r="V387" i="2" s="1"/>
  <c r="E389" i="3" s="1"/>
  <c r="U386" i="2"/>
  <c r="V386" i="2" s="1"/>
  <c r="E388" i="3" s="1"/>
  <c r="U385" i="2"/>
  <c r="V385" i="2" s="1"/>
  <c r="E387" i="3" s="1"/>
  <c r="U384" i="2"/>
  <c r="V384" i="2" s="1"/>
  <c r="E386" i="3" s="1"/>
  <c r="U383" i="2"/>
  <c r="V383" i="2" s="1"/>
  <c r="E385" i="3" s="1"/>
  <c r="U382" i="2"/>
  <c r="V382" i="2" s="1"/>
  <c r="E384" i="3" s="1"/>
  <c r="U381" i="2"/>
  <c r="V381" i="2" s="1"/>
  <c r="E383" i="3" s="1"/>
  <c r="U380" i="2"/>
  <c r="V380" i="2" s="1"/>
  <c r="E382" i="3" s="1"/>
  <c r="U379" i="2"/>
  <c r="V379" i="2" s="1"/>
  <c r="E381" i="3" s="1"/>
  <c r="U378" i="2"/>
  <c r="V378" i="2" s="1"/>
  <c r="E380" i="3" s="1"/>
  <c r="U377" i="2"/>
  <c r="V377" i="2" s="1"/>
  <c r="E379" i="3" s="1"/>
  <c r="U376" i="2"/>
  <c r="V376" i="2" s="1"/>
  <c r="E378" i="3" s="1"/>
  <c r="U375" i="2"/>
  <c r="V375" i="2" s="1"/>
  <c r="E377" i="3" s="1"/>
  <c r="U374" i="2"/>
  <c r="V374" i="2" s="1"/>
  <c r="E376" i="3" s="1"/>
  <c r="U373" i="2"/>
  <c r="V373" i="2" s="1"/>
  <c r="E375" i="3" s="1"/>
  <c r="U372" i="2"/>
  <c r="V372" i="2" s="1"/>
  <c r="E374" i="3" s="1"/>
  <c r="U371" i="2"/>
  <c r="V371" i="2" s="1"/>
  <c r="E373" i="3" s="1"/>
  <c r="U370" i="2"/>
  <c r="V370" i="2" s="1"/>
  <c r="E372" i="3" s="1"/>
  <c r="U369" i="2"/>
  <c r="V369" i="2" s="1"/>
  <c r="E371" i="3" s="1"/>
  <c r="U368" i="2"/>
  <c r="V368" i="2" s="1"/>
  <c r="E370" i="3" s="1"/>
  <c r="U367" i="2"/>
  <c r="V367" i="2" s="1"/>
  <c r="E369" i="3" s="1"/>
  <c r="U366" i="2"/>
  <c r="V366" i="2" s="1"/>
  <c r="E368" i="3" s="1"/>
  <c r="U365" i="2"/>
  <c r="V365" i="2" s="1"/>
  <c r="E367" i="3" s="1"/>
  <c r="U364" i="2"/>
  <c r="V364" i="2" s="1"/>
  <c r="E366" i="3" s="1"/>
  <c r="U363" i="2"/>
  <c r="V363" i="2" s="1"/>
  <c r="E365" i="3" s="1"/>
  <c r="U362" i="2"/>
  <c r="V362" i="2" s="1"/>
  <c r="E364" i="3" s="1"/>
  <c r="U361" i="2"/>
  <c r="V361" i="2" s="1"/>
  <c r="E363" i="3" s="1"/>
  <c r="U360" i="2"/>
  <c r="V360" i="2" s="1"/>
  <c r="E362" i="3" s="1"/>
  <c r="U359" i="2"/>
  <c r="V359" i="2" s="1"/>
  <c r="E361" i="3" s="1"/>
  <c r="U358" i="2"/>
  <c r="V358" i="2" s="1"/>
  <c r="E360" i="3" s="1"/>
  <c r="U357" i="2"/>
  <c r="V357" i="2" s="1"/>
  <c r="E359" i="3" s="1"/>
  <c r="U356" i="2"/>
  <c r="V356" i="2" s="1"/>
  <c r="E358" i="3" s="1"/>
  <c r="U355" i="2"/>
  <c r="V355" i="2" s="1"/>
  <c r="E357" i="3" s="1"/>
  <c r="U354" i="2"/>
  <c r="V354" i="2" s="1"/>
  <c r="E356" i="3" s="1"/>
  <c r="U353" i="2"/>
  <c r="V353" i="2" s="1"/>
  <c r="E355" i="3" s="1"/>
  <c r="U352" i="2"/>
  <c r="V352" i="2" s="1"/>
  <c r="E354" i="3" s="1"/>
  <c r="U351" i="2"/>
  <c r="V351" i="2" s="1"/>
  <c r="E353" i="3" s="1"/>
  <c r="U350" i="2"/>
  <c r="V350" i="2" s="1"/>
  <c r="E352" i="3" s="1"/>
  <c r="U349" i="2"/>
  <c r="V349" i="2" s="1"/>
  <c r="E351" i="3" s="1"/>
  <c r="U348" i="2"/>
  <c r="V348" i="2" s="1"/>
  <c r="E350" i="3" s="1"/>
  <c r="U347" i="2"/>
  <c r="V347" i="2" s="1"/>
  <c r="E349" i="3" s="1"/>
  <c r="U346" i="2"/>
  <c r="V346" i="2" s="1"/>
  <c r="E348" i="3" s="1"/>
  <c r="U345" i="2"/>
  <c r="V345" i="2" s="1"/>
  <c r="E347" i="3" s="1"/>
  <c r="U344" i="2"/>
  <c r="V344" i="2" s="1"/>
  <c r="E346" i="3" s="1"/>
  <c r="U343" i="2"/>
  <c r="V343" i="2" s="1"/>
  <c r="E345" i="3" s="1"/>
  <c r="U342" i="2"/>
  <c r="V342" i="2" s="1"/>
  <c r="E344" i="3" s="1"/>
  <c r="U341" i="2"/>
  <c r="V341" i="2" s="1"/>
  <c r="E343" i="3" s="1"/>
  <c r="U340" i="2"/>
  <c r="V340" i="2" s="1"/>
  <c r="E342" i="3" s="1"/>
  <c r="U339" i="2"/>
  <c r="V339" i="2" s="1"/>
  <c r="E341" i="3" s="1"/>
  <c r="U338" i="2"/>
  <c r="V338" i="2" s="1"/>
  <c r="E340" i="3" s="1"/>
  <c r="U337" i="2"/>
  <c r="V337" i="2" s="1"/>
  <c r="E339" i="3" s="1"/>
  <c r="U336" i="2"/>
  <c r="V336" i="2" s="1"/>
  <c r="E338" i="3" s="1"/>
  <c r="U335" i="2"/>
  <c r="V335" i="2" s="1"/>
  <c r="E337" i="3" s="1"/>
  <c r="U334" i="2"/>
  <c r="V334" i="2" s="1"/>
  <c r="E336" i="3" s="1"/>
  <c r="U333" i="2"/>
  <c r="V333" i="2" s="1"/>
  <c r="E335" i="3" s="1"/>
  <c r="U332" i="2"/>
  <c r="V332" i="2" s="1"/>
  <c r="E334" i="3" s="1"/>
  <c r="U331" i="2"/>
  <c r="V331" i="2" s="1"/>
  <c r="E333" i="3" s="1"/>
  <c r="U330" i="2"/>
  <c r="V330" i="2" s="1"/>
  <c r="E332" i="3" s="1"/>
  <c r="U329" i="2"/>
  <c r="V329" i="2" s="1"/>
  <c r="E331" i="3" s="1"/>
  <c r="U328" i="2"/>
  <c r="V328" i="2" s="1"/>
  <c r="E330" i="3" s="1"/>
  <c r="U327" i="2"/>
  <c r="V327" i="2" s="1"/>
  <c r="E329" i="3" s="1"/>
  <c r="U326" i="2"/>
  <c r="V326" i="2" s="1"/>
  <c r="E328" i="3" s="1"/>
  <c r="U325" i="2"/>
  <c r="V325" i="2" s="1"/>
  <c r="E327" i="3" s="1"/>
  <c r="U324" i="2"/>
  <c r="V324" i="2" s="1"/>
  <c r="E326" i="3" s="1"/>
  <c r="U323" i="2"/>
  <c r="V323" i="2" s="1"/>
  <c r="E325" i="3" s="1"/>
  <c r="U322" i="2"/>
  <c r="V322" i="2" s="1"/>
  <c r="E324" i="3" s="1"/>
  <c r="U321" i="2"/>
  <c r="V321" i="2" s="1"/>
  <c r="E323" i="3" s="1"/>
  <c r="U320" i="2"/>
  <c r="V320" i="2" s="1"/>
  <c r="E322" i="3" s="1"/>
  <c r="U319" i="2"/>
  <c r="V319" i="2" s="1"/>
  <c r="E321" i="3" s="1"/>
  <c r="U318" i="2"/>
  <c r="V318" i="2" s="1"/>
  <c r="E320" i="3" s="1"/>
  <c r="U317" i="2"/>
  <c r="V317" i="2" s="1"/>
  <c r="E319" i="3" s="1"/>
  <c r="U316" i="2"/>
  <c r="V316" i="2" s="1"/>
  <c r="E318" i="3" s="1"/>
  <c r="U315" i="2"/>
  <c r="V315" i="2" s="1"/>
  <c r="E317" i="3" s="1"/>
  <c r="U314" i="2"/>
  <c r="V314" i="2" s="1"/>
  <c r="E316" i="3" s="1"/>
  <c r="U313" i="2"/>
  <c r="V313" i="2" s="1"/>
  <c r="E315" i="3" s="1"/>
  <c r="U312" i="2"/>
  <c r="V312" i="2" s="1"/>
  <c r="E314" i="3" s="1"/>
  <c r="U311" i="2"/>
  <c r="V311" i="2" s="1"/>
  <c r="E313" i="3" s="1"/>
  <c r="U310" i="2"/>
  <c r="V310" i="2" s="1"/>
  <c r="E312" i="3" s="1"/>
  <c r="U309" i="2"/>
  <c r="V309" i="2" s="1"/>
  <c r="E311" i="3" s="1"/>
  <c r="U308" i="2"/>
  <c r="V308" i="2" s="1"/>
  <c r="E310" i="3" s="1"/>
  <c r="U307" i="2"/>
  <c r="V307" i="2" s="1"/>
  <c r="E309" i="3" s="1"/>
  <c r="U306" i="2"/>
  <c r="V306" i="2" s="1"/>
  <c r="E308" i="3" s="1"/>
  <c r="U305" i="2"/>
  <c r="V305" i="2" s="1"/>
  <c r="E307" i="3" s="1"/>
  <c r="U304" i="2"/>
  <c r="V304" i="2" s="1"/>
  <c r="E306" i="3" s="1"/>
  <c r="U303" i="2"/>
  <c r="V303" i="2" s="1"/>
  <c r="E305" i="3" s="1"/>
  <c r="U302" i="2"/>
  <c r="V302" i="2" s="1"/>
  <c r="E304" i="3" s="1"/>
  <c r="U301" i="2"/>
  <c r="V301" i="2" s="1"/>
  <c r="E303" i="3" s="1"/>
  <c r="U300" i="2"/>
  <c r="V300" i="2" s="1"/>
  <c r="E302" i="3" s="1"/>
  <c r="U299" i="2"/>
  <c r="V299" i="2" s="1"/>
  <c r="E301" i="3" s="1"/>
  <c r="U298" i="2"/>
  <c r="V298" i="2" s="1"/>
  <c r="E300" i="3" s="1"/>
  <c r="U297" i="2"/>
  <c r="V297" i="2" s="1"/>
  <c r="E299" i="3" s="1"/>
  <c r="U296" i="2"/>
  <c r="V296" i="2" s="1"/>
  <c r="E298" i="3" s="1"/>
  <c r="U295" i="2"/>
  <c r="V295" i="2" s="1"/>
  <c r="E297" i="3" s="1"/>
  <c r="U294" i="2"/>
  <c r="V294" i="2" s="1"/>
  <c r="E296" i="3" s="1"/>
  <c r="U293" i="2"/>
  <c r="V293" i="2" s="1"/>
  <c r="E295" i="3" s="1"/>
  <c r="U292" i="2"/>
  <c r="V292" i="2" s="1"/>
  <c r="E294" i="3" s="1"/>
  <c r="U291" i="2"/>
  <c r="V291" i="2" s="1"/>
  <c r="E293" i="3" s="1"/>
  <c r="U290" i="2"/>
  <c r="V290" i="2" s="1"/>
  <c r="E292" i="3" s="1"/>
  <c r="U289" i="2"/>
  <c r="V289" i="2" s="1"/>
  <c r="E291" i="3" s="1"/>
  <c r="U288" i="2"/>
  <c r="V288" i="2" s="1"/>
  <c r="E290" i="3" s="1"/>
  <c r="U287" i="2"/>
  <c r="V287" i="2" s="1"/>
  <c r="E289" i="3" s="1"/>
  <c r="U286" i="2"/>
  <c r="V286" i="2" s="1"/>
  <c r="E288" i="3" s="1"/>
  <c r="U285" i="2"/>
  <c r="V285" i="2" s="1"/>
  <c r="E287" i="3" s="1"/>
  <c r="U284" i="2"/>
  <c r="V284" i="2" s="1"/>
  <c r="E286" i="3" s="1"/>
  <c r="U283" i="2"/>
  <c r="V283" i="2" s="1"/>
  <c r="E285" i="3" s="1"/>
  <c r="U282" i="2"/>
  <c r="V282" i="2" s="1"/>
  <c r="E284" i="3" s="1"/>
  <c r="U281" i="2"/>
  <c r="V281" i="2" s="1"/>
  <c r="E283" i="3" s="1"/>
  <c r="U280" i="2"/>
  <c r="V280" i="2" s="1"/>
  <c r="E282" i="3" s="1"/>
  <c r="U279" i="2"/>
  <c r="V279" i="2" s="1"/>
  <c r="E281" i="3" s="1"/>
  <c r="U278" i="2"/>
  <c r="V278" i="2" s="1"/>
  <c r="E280" i="3" s="1"/>
  <c r="U277" i="2"/>
  <c r="V277" i="2" s="1"/>
  <c r="E279" i="3" s="1"/>
  <c r="U276" i="2"/>
  <c r="V276" i="2" s="1"/>
  <c r="E278" i="3" s="1"/>
  <c r="U275" i="2"/>
  <c r="V275" i="2" s="1"/>
  <c r="E277" i="3" s="1"/>
  <c r="U274" i="2"/>
  <c r="V274" i="2" s="1"/>
  <c r="E276" i="3" s="1"/>
  <c r="U273" i="2"/>
  <c r="V273" i="2" s="1"/>
  <c r="E275" i="3" s="1"/>
  <c r="U272" i="2"/>
  <c r="V272" i="2" s="1"/>
  <c r="E274" i="3" s="1"/>
  <c r="U271" i="2"/>
  <c r="V271" i="2" s="1"/>
  <c r="E273" i="3" s="1"/>
  <c r="U270" i="2"/>
  <c r="V270" i="2" s="1"/>
  <c r="E272" i="3" s="1"/>
  <c r="U269" i="2"/>
  <c r="V269" i="2" s="1"/>
  <c r="E271" i="3" s="1"/>
  <c r="U268" i="2"/>
  <c r="V268" i="2" s="1"/>
  <c r="E270" i="3" s="1"/>
  <c r="U267" i="2"/>
  <c r="V267" i="2" s="1"/>
  <c r="E269" i="3" s="1"/>
  <c r="U266" i="2"/>
  <c r="V266" i="2" s="1"/>
  <c r="E268" i="3" s="1"/>
  <c r="U265" i="2"/>
  <c r="V265" i="2" s="1"/>
  <c r="E267" i="3" s="1"/>
  <c r="U264" i="2"/>
  <c r="V264" i="2" s="1"/>
  <c r="E266" i="3" s="1"/>
  <c r="U263" i="2"/>
  <c r="V263" i="2" s="1"/>
  <c r="E265" i="3" s="1"/>
  <c r="U262" i="2"/>
  <c r="V262" i="2" s="1"/>
  <c r="E264" i="3" s="1"/>
  <c r="U261" i="2"/>
  <c r="V261" i="2" s="1"/>
  <c r="E263" i="3" s="1"/>
  <c r="U260" i="2"/>
  <c r="V260" i="2" s="1"/>
  <c r="E262" i="3" s="1"/>
  <c r="U259" i="2"/>
  <c r="V259" i="2" s="1"/>
  <c r="E261" i="3" s="1"/>
  <c r="U258" i="2"/>
  <c r="V258" i="2" s="1"/>
  <c r="E260" i="3" s="1"/>
  <c r="U257" i="2"/>
  <c r="V257" i="2" s="1"/>
  <c r="E259" i="3" s="1"/>
  <c r="U256" i="2"/>
  <c r="V256" i="2" s="1"/>
  <c r="E258" i="3" s="1"/>
  <c r="U255" i="2"/>
  <c r="V255" i="2" s="1"/>
  <c r="E257" i="3" s="1"/>
  <c r="U254" i="2"/>
  <c r="V254" i="2" s="1"/>
  <c r="E256" i="3" s="1"/>
  <c r="U253" i="2"/>
  <c r="V253" i="2" s="1"/>
  <c r="E255" i="3" s="1"/>
  <c r="U252" i="2"/>
  <c r="V252" i="2" s="1"/>
  <c r="E254" i="3" s="1"/>
  <c r="U251" i="2"/>
  <c r="V251" i="2" s="1"/>
  <c r="E253" i="3" s="1"/>
  <c r="U250" i="2"/>
  <c r="V250" i="2" s="1"/>
  <c r="E252" i="3" s="1"/>
  <c r="U249" i="2"/>
  <c r="V249" i="2" s="1"/>
  <c r="E251" i="3" s="1"/>
  <c r="U248" i="2"/>
  <c r="V248" i="2" s="1"/>
  <c r="E250" i="3" s="1"/>
  <c r="U247" i="2"/>
  <c r="V247" i="2" s="1"/>
  <c r="E249" i="3" s="1"/>
  <c r="U246" i="2"/>
  <c r="V246" i="2" s="1"/>
  <c r="E248" i="3" s="1"/>
  <c r="U245" i="2"/>
  <c r="V245" i="2" s="1"/>
  <c r="E247" i="3" s="1"/>
  <c r="U244" i="2"/>
  <c r="V244" i="2" s="1"/>
  <c r="E246" i="3" s="1"/>
  <c r="U243" i="2"/>
  <c r="V243" i="2" s="1"/>
  <c r="E245" i="3" s="1"/>
  <c r="U242" i="2"/>
  <c r="V242" i="2" s="1"/>
  <c r="E244" i="3" s="1"/>
  <c r="U241" i="2"/>
  <c r="V241" i="2" s="1"/>
  <c r="E243" i="3" s="1"/>
  <c r="U240" i="2"/>
  <c r="V240" i="2" s="1"/>
  <c r="E242" i="3" s="1"/>
  <c r="U239" i="2"/>
  <c r="V239" i="2" s="1"/>
  <c r="E241" i="3" s="1"/>
  <c r="U238" i="2"/>
  <c r="V238" i="2" s="1"/>
  <c r="E240" i="3" s="1"/>
  <c r="U237" i="2"/>
  <c r="V237" i="2" s="1"/>
  <c r="E239" i="3" s="1"/>
  <c r="U236" i="2"/>
  <c r="V236" i="2" s="1"/>
  <c r="E238" i="3" s="1"/>
  <c r="U235" i="2"/>
  <c r="V235" i="2" s="1"/>
  <c r="E237" i="3" s="1"/>
  <c r="U234" i="2"/>
  <c r="V234" i="2" s="1"/>
  <c r="E236" i="3" s="1"/>
  <c r="U233" i="2"/>
  <c r="V233" i="2" s="1"/>
  <c r="E235" i="3" s="1"/>
  <c r="U232" i="2"/>
  <c r="V232" i="2" s="1"/>
  <c r="E234" i="3" s="1"/>
  <c r="U231" i="2"/>
  <c r="V231" i="2" s="1"/>
  <c r="E233" i="3" s="1"/>
  <c r="U230" i="2"/>
  <c r="V230" i="2" s="1"/>
  <c r="E232" i="3" s="1"/>
  <c r="U229" i="2"/>
  <c r="V229" i="2" s="1"/>
  <c r="E231" i="3" s="1"/>
  <c r="U228" i="2"/>
  <c r="V228" i="2" s="1"/>
  <c r="E230" i="3" s="1"/>
  <c r="U227" i="2"/>
  <c r="V227" i="2" s="1"/>
  <c r="E229" i="3" s="1"/>
  <c r="U226" i="2"/>
  <c r="V226" i="2" s="1"/>
  <c r="E228" i="3" s="1"/>
  <c r="U225" i="2"/>
  <c r="V225" i="2" s="1"/>
  <c r="E227" i="3" s="1"/>
  <c r="U224" i="2"/>
  <c r="V224" i="2" s="1"/>
  <c r="E226" i="3" s="1"/>
  <c r="U223" i="2"/>
  <c r="V223" i="2" s="1"/>
  <c r="E225" i="3" s="1"/>
  <c r="U222" i="2"/>
  <c r="V222" i="2" s="1"/>
  <c r="E224" i="3" s="1"/>
  <c r="U221" i="2"/>
  <c r="V221" i="2" s="1"/>
  <c r="E223" i="3" s="1"/>
  <c r="U220" i="2"/>
  <c r="V220" i="2" s="1"/>
  <c r="E222" i="3" s="1"/>
  <c r="U219" i="2"/>
  <c r="V219" i="2" s="1"/>
  <c r="E221" i="3" s="1"/>
  <c r="U218" i="2"/>
  <c r="V218" i="2" s="1"/>
  <c r="E220" i="3" s="1"/>
  <c r="U217" i="2"/>
  <c r="V217" i="2" s="1"/>
  <c r="E219" i="3" s="1"/>
  <c r="U216" i="2"/>
  <c r="V216" i="2" s="1"/>
  <c r="E218" i="3" s="1"/>
  <c r="U215" i="2"/>
  <c r="V215" i="2" s="1"/>
  <c r="E217" i="3" s="1"/>
  <c r="U214" i="2"/>
  <c r="V214" i="2" s="1"/>
  <c r="E216" i="3" s="1"/>
  <c r="U213" i="2"/>
  <c r="V213" i="2" s="1"/>
  <c r="E215" i="3" s="1"/>
  <c r="U212" i="2"/>
  <c r="V212" i="2" s="1"/>
  <c r="E214" i="3" s="1"/>
  <c r="U211" i="2"/>
  <c r="V211" i="2" s="1"/>
  <c r="E213" i="3" s="1"/>
  <c r="U210" i="2"/>
  <c r="V210" i="2" s="1"/>
  <c r="E212" i="3" s="1"/>
  <c r="U209" i="2"/>
  <c r="V209" i="2" s="1"/>
  <c r="E211" i="3" s="1"/>
  <c r="U208" i="2"/>
  <c r="V208" i="2" s="1"/>
  <c r="E210" i="3" s="1"/>
  <c r="U207" i="2"/>
  <c r="V207" i="2" s="1"/>
  <c r="E209" i="3" s="1"/>
  <c r="U206" i="2"/>
  <c r="V206" i="2" s="1"/>
  <c r="E208" i="3" s="1"/>
  <c r="U205" i="2"/>
  <c r="V205" i="2" s="1"/>
  <c r="E207" i="3" s="1"/>
  <c r="U204" i="2"/>
  <c r="V204" i="2" s="1"/>
  <c r="E206" i="3" s="1"/>
  <c r="U203" i="2"/>
  <c r="V203" i="2" s="1"/>
  <c r="E205" i="3" s="1"/>
  <c r="U202" i="2"/>
  <c r="V202" i="2" s="1"/>
  <c r="E204" i="3" s="1"/>
  <c r="U201" i="2"/>
  <c r="V201" i="2" s="1"/>
  <c r="E203" i="3" s="1"/>
  <c r="U200" i="2"/>
  <c r="V200" i="2" s="1"/>
  <c r="E202" i="3" s="1"/>
  <c r="U199" i="2"/>
  <c r="V199" i="2" s="1"/>
  <c r="E201" i="3" s="1"/>
  <c r="U198" i="2"/>
  <c r="V198" i="2" s="1"/>
  <c r="E200" i="3" s="1"/>
  <c r="U197" i="2"/>
  <c r="V197" i="2" s="1"/>
  <c r="E199" i="3" s="1"/>
  <c r="U196" i="2"/>
  <c r="V196" i="2" s="1"/>
  <c r="E198" i="3" s="1"/>
  <c r="U195" i="2"/>
  <c r="V195" i="2" s="1"/>
  <c r="E197" i="3" s="1"/>
  <c r="U194" i="2"/>
  <c r="V194" i="2" s="1"/>
  <c r="E196" i="3" s="1"/>
  <c r="U193" i="2"/>
  <c r="V193" i="2" s="1"/>
  <c r="E195" i="3" s="1"/>
  <c r="U192" i="2"/>
  <c r="V192" i="2" s="1"/>
  <c r="E194" i="3" s="1"/>
  <c r="U191" i="2"/>
  <c r="V191" i="2" s="1"/>
  <c r="E193" i="3" s="1"/>
  <c r="U190" i="2"/>
  <c r="V190" i="2" s="1"/>
  <c r="E192" i="3" s="1"/>
  <c r="U189" i="2"/>
  <c r="V189" i="2" s="1"/>
  <c r="E191" i="3" s="1"/>
  <c r="U188" i="2"/>
  <c r="V188" i="2" s="1"/>
  <c r="E190" i="3" s="1"/>
  <c r="U187" i="2"/>
  <c r="V187" i="2" s="1"/>
  <c r="E189" i="3" s="1"/>
  <c r="U186" i="2"/>
  <c r="V186" i="2" s="1"/>
  <c r="E188" i="3" s="1"/>
  <c r="U185" i="2"/>
  <c r="V185" i="2" s="1"/>
  <c r="E187" i="3" s="1"/>
  <c r="U184" i="2"/>
  <c r="V184" i="2" s="1"/>
  <c r="E186" i="3" s="1"/>
  <c r="U183" i="2"/>
  <c r="V183" i="2" s="1"/>
  <c r="E185" i="3" s="1"/>
  <c r="U182" i="2"/>
  <c r="V182" i="2" s="1"/>
  <c r="E184" i="3" s="1"/>
  <c r="U181" i="2"/>
  <c r="V181" i="2" s="1"/>
  <c r="E183" i="3" s="1"/>
  <c r="U180" i="2"/>
  <c r="V180" i="2" s="1"/>
  <c r="E182" i="3" s="1"/>
  <c r="U179" i="2"/>
  <c r="V179" i="2" s="1"/>
  <c r="E181" i="3" s="1"/>
  <c r="U178" i="2"/>
  <c r="V178" i="2" s="1"/>
  <c r="E180" i="3" s="1"/>
  <c r="U177" i="2"/>
  <c r="V177" i="2" s="1"/>
  <c r="E179" i="3" s="1"/>
  <c r="U176" i="2"/>
  <c r="V176" i="2" s="1"/>
  <c r="E178" i="3" s="1"/>
  <c r="U175" i="2"/>
  <c r="V175" i="2" s="1"/>
  <c r="E177" i="3" s="1"/>
  <c r="U174" i="2"/>
  <c r="V174" i="2" s="1"/>
  <c r="E176" i="3" s="1"/>
  <c r="U173" i="2"/>
  <c r="V173" i="2" s="1"/>
  <c r="E175" i="3" s="1"/>
  <c r="U172" i="2"/>
  <c r="V172" i="2" s="1"/>
  <c r="E174" i="3" s="1"/>
  <c r="U171" i="2"/>
  <c r="V171" i="2" s="1"/>
  <c r="E173" i="3" s="1"/>
  <c r="U170" i="2"/>
  <c r="V170" i="2" s="1"/>
  <c r="E172" i="3" s="1"/>
  <c r="U169" i="2"/>
  <c r="V169" i="2" s="1"/>
  <c r="E171" i="3" s="1"/>
  <c r="U168" i="2"/>
  <c r="V168" i="2" s="1"/>
  <c r="E170" i="3" s="1"/>
  <c r="U167" i="2"/>
  <c r="V167" i="2" s="1"/>
  <c r="E169" i="3" s="1"/>
  <c r="U166" i="2"/>
  <c r="V166" i="2" s="1"/>
  <c r="E168" i="3" s="1"/>
  <c r="U165" i="2"/>
  <c r="V165" i="2" s="1"/>
  <c r="E167" i="3" s="1"/>
  <c r="U164" i="2"/>
  <c r="V164" i="2" s="1"/>
  <c r="E166" i="3" s="1"/>
  <c r="U163" i="2"/>
  <c r="V163" i="2" s="1"/>
  <c r="E165" i="3" s="1"/>
  <c r="U162" i="2"/>
  <c r="V162" i="2" s="1"/>
  <c r="E164" i="3" s="1"/>
  <c r="U161" i="2"/>
  <c r="V161" i="2" s="1"/>
  <c r="E163" i="3" s="1"/>
  <c r="U160" i="2"/>
  <c r="V160" i="2" s="1"/>
  <c r="E162" i="3" s="1"/>
  <c r="U159" i="2"/>
  <c r="V159" i="2" s="1"/>
  <c r="E161" i="3" s="1"/>
  <c r="U158" i="2"/>
  <c r="V158" i="2" s="1"/>
  <c r="E160" i="3" s="1"/>
  <c r="U157" i="2"/>
  <c r="V157" i="2" s="1"/>
  <c r="E159" i="3" s="1"/>
  <c r="U156" i="2"/>
  <c r="V156" i="2" s="1"/>
  <c r="E158" i="3" s="1"/>
  <c r="U155" i="2"/>
  <c r="V155" i="2" s="1"/>
  <c r="E157" i="3" s="1"/>
  <c r="U154" i="2"/>
  <c r="V154" i="2" s="1"/>
  <c r="E156" i="3" s="1"/>
  <c r="U153" i="2"/>
  <c r="V153" i="2" s="1"/>
  <c r="E155" i="3" s="1"/>
  <c r="U152" i="2"/>
  <c r="V152" i="2" s="1"/>
  <c r="E154" i="3" s="1"/>
  <c r="U151" i="2"/>
  <c r="V151" i="2" s="1"/>
  <c r="E153" i="3" s="1"/>
  <c r="U150" i="2"/>
  <c r="V150" i="2" s="1"/>
  <c r="E152" i="3" s="1"/>
  <c r="U149" i="2"/>
  <c r="V149" i="2" s="1"/>
  <c r="E151" i="3" s="1"/>
  <c r="U148" i="2"/>
  <c r="V148" i="2" s="1"/>
  <c r="E150" i="3" s="1"/>
  <c r="U147" i="2"/>
  <c r="V147" i="2" s="1"/>
  <c r="E149" i="3" s="1"/>
  <c r="U146" i="2"/>
  <c r="V146" i="2" s="1"/>
  <c r="E148" i="3" s="1"/>
  <c r="U145" i="2"/>
  <c r="V145" i="2" s="1"/>
  <c r="E147" i="3" s="1"/>
  <c r="U144" i="2"/>
  <c r="V144" i="2" s="1"/>
  <c r="E146" i="3" s="1"/>
  <c r="U143" i="2"/>
  <c r="V143" i="2" s="1"/>
  <c r="E145" i="3" s="1"/>
  <c r="U142" i="2"/>
  <c r="V142" i="2" s="1"/>
  <c r="E144" i="3" s="1"/>
  <c r="U141" i="2"/>
  <c r="V141" i="2" s="1"/>
  <c r="E143" i="3" s="1"/>
  <c r="U140" i="2"/>
  <c r="V140" i="2" s="1"/>
  <c r="E142" i="3" s="1"/>
  <c r="U139" i="2"/>
  <c r="V139" i="2" s="1"/>
  <c r="E141" i="3" s="1"/>
  <c r="U138" i="2"/>
  <c r="V138" i="2" s="1"/>
  <c r="E140" i="3" s="1"/>
  <c r="U137" i="2"/>
  <c r="V137" i="2" s="1"/>
  <c r="E139" i="3" s="1"/>
  <c r="U136" i="2"/>
  <c r="V136" i="2" s="1"/>
  <c r="E138" i="3" s="1"/>
  <c r="U135" i="2"/>
  <c r="V135" i="2" s="1"/>
  <c r="E137" i="3" s="1"/>
  <c r="U134" i="2"/>
  <c r="V134" i="2" s="1"/>
  <c r="E136" i="3" s="1"/>
  <c r="U133" i="2"/>
  <c r="V133" i="2" s="1"/>
  <c r="E135" i="3" s="1"/>
  <c r="U132" i="2"/>
  <c r="V132" i="2" s="1"/>
  <c r="E134" i="3" s="1"/>
  <c r="U131" i="2"/>
  <c r="V131" i="2" s="1"/>
  <c r="E133" i="3" s="1"/>
  <c r="U130" i="2"/>
  <c r="V130" i="2" s="1"/>
  <c r="E132" i="3" s="1"/>
  <c r="U129" i="2"/>
  <c r="V129" i="2" s="1"/>
  <c r="E131" i="3" s="1"/>
  <c r="U128" i="2"/>
  <c r="V128" i="2" s="1"/>
  <c r="E130" i="3" s="1"/>
  <c r="U127" i="2"/>
  <c r="V127" i="2" s="1"/>
  <c r="E129" i="3" s="1"/>
  <c r="U126" i="2"/>
  <c r="V126" i="2" s="1"/>
  <c r="E128" i="3" s="1"/>
  <c r="U125" i="2"/>
  <c r="V125" i="2" s="1"/>
  <c r="E127" i="3" s="1"/>
  <c r="U124" i="2"/>
  <c r="V124" i="2" s="1"/>
  <c r="E126" i="3" s="1"/>
  <c r="U123" i="2"/>
  <c r="V123" i="2" s="1"/>
  <c r="E125" i="3" s="1"/>
  <c r="U122" i="2"/>
  <c r="V122" i="2" s="1"/>
  <c r="E124" i="3" s="1"/>
  <c r="U121" i="2"/>
  <c r="V121" i="2" s="1"/>
  <c r="E123" i="3" s="1"/>
  <c r="U120" i="2"/>
  <c r="V120" i="2" s="1"/>
  <c r="E122" i="3" s="1"/>
  <c r="U119" i="2"/>
  <c r="V119" i="2" s="1"/>
  <c r="E121" i="3" s="1"/>
  <c r="U118" i="2"/>
  <c r="V118" i="2" s="1"/>
  <c r="E120" i="3" s="1"/>
  <c r="U117" i="2"/>
  <c r="V117" i="2" s="1"/>
  <c r="E119" i="3" s="1"/>
  <c r="U116" i="2"/>
  <c r="V116" i="2" s="1"/>
  <c r="E118" i="3" s="1"/>
  <c r="U115" i="2"/>
  <c r="V115" i="2" s="1"/>
  <c r="E117" i="3" s="1"/>
  <c r="U114" i="2"/>
  <c r="V114" i="2" s="1"/>
  <c r="E116" i="3" s="1"/>
  <c r="U113" i="2"/>
  <c r="V113" i="2" s="1"/>
  <c r="E115" i="3" s="1"/>
  <c r="U112" i="2"/>
  <c r="V112" i="2" s="1"/>
  <c r="E114" i="3" s="1"/>
  <c r="U111" i="2"/>
  <c r="V111" i="2" s="1"/>
  <c r="E113" i="3" s="1"/>
  <c r="U110" i="2"/>
  <c r="V110" i="2" s="1"/>
  <c r="E112" i="3" s="1"/>
  <c r="U109" i="2"/>
  <c r="V109" i="2" s="1"/>
  <c r="E111" i="3" s="1"/>
  <c r="U108" i="2"/>
  <c r="V108" i="2" s="1"/>
  <c r="E110" i="3" s="1"/>
  <c r="U107" i="2"/>
  <c r="V107" i="2" s="1"/>
  <c r="E109" i="3" s="1"/>
  <c r="U106" i="2"/>
  <c r="V106" i="2" s="1"/>
  <c r="E108" i="3" s="1"/>
  <c r="U105" i="2"/>
  <c r="V105" i="2" s="1"/>
  <c r="E107" i="3" s="1"/>
  <c r="U104" i="2"/>
  <c r="V104" i="2" s="1"/>
  <c r="E106" i="3" s="1"/>
  <c r="U103" i="2"/>
  <c r="V103" i="2" s="1"/>
  <c r="E105" i="3" s="1"/>
  <c r="U102" i="2"/>
  <c r="V102" i="2" s="1"/>
  <c r="E104" i="3" s="1"/>
  <c r="U101" i="2"/>
  <c r="V101" i="2" s="1"/>
  <c r="E103" i="3" s="1"/>
  <c r="U100" i="2"/>
  <c r="V100" i="2" s="1"/>
  <c r="E102" i="3" s="1"/>
  <c r="U99" i="2"/>
  <c r="V99" i="2" s="1"/>
  <c r="E101" i="3" s="1"/>
  <c r="U98" i="2"/>
  <c r="V98" i="2" s="1"/>
  <c r="E100" i="3" s="1"/>
  <c r="U97" i="2"/>
  <c r="V97" i="2" s="1"/>
  <c r="E99" i="3" s="1"/>
  <c r="U96" i="2"/>
  <c r="V96" i="2" s="1"/>
  <c r="E98" i="3" s="1"/>
  <c r="U95" i="2"/>
  <c r="V95" i="2" s="1"/>
  <c r="E97" i="3" s="1"/>
  <c r="U94" i="2"/>
  <c r="V94" i="2" s="1"/>
  <c r="E96" i="3" s="1"/>
  <c r="U93" i="2"/>
  <c r="V93" i="2" s="1"/>
  <c r="E95" i="3" s="1"/>
  <c r="U92" i="2"/>
  <c r="V92" i="2" s="1"/>
  <c r="E94" i="3" s="1"/>
  <c r="U91" i="2"/>
  <c r="V91" i="2" s="1"/>
  <c r="E93" i="3" s="1"/>
  <c r="U90" i="2"/>
  <c r="V90" i="2" s="1"/>
  <c r="E92" i="3" s="1"/>
  <c r="U89" i="2"/>
  <c r="V89" i="2" s="1"/>
  <c r="E91" i="3" s="1"/>
  <c r="U88" i="2"/>
  <c r="V88" i="2" s="1"/>
  <c r="E90" i="3" s="1"/>
  <c r="U87" i="2"/>
  <c r="V87" i="2" s="1"/>
  <c r="E89" i="3" s="1"/>
  <c r="U86" i="2"/>
  <c r="V86" i="2" s="1"/>
  <c r="E88" i="3" s="1"/>
  <c r="U85" i="2"/>
  <c r="V85" i="2" s="1"/>
  <c r="E87" i="3" s="1"/>
  <c r="U84" i="2"/>
  <c r="V84" i="2" s="1"/>
  <c r="E86" i="3" s="1"/>
  <c r="U83" i="2"/>
  <c r="V83" i="2" s="1"/>
  <c r="E85" i="3" s="1"/>
  <c r="U82" i="2"/>
  <c r="V82" i="2" s="1"/>
  <c r="E84" i="3" s="1"/>
  <c r="U81" i="2"/>
  <c r="V81" i="2" s="1"/>
  <c r="E83" i="3" s="1"/>
  <c r="U80" i="2"/>
  <c r="V80" i="2" s="1"/>
  <c r="E82" i="3" s="1"/>
  <c r="U79" i="2"/>
  <c r="V79" i="2" s="1"/>
  <c r="E81" i="3" s="1"/>
  <c r="U78" i="2"/>
  <c r="V78" i="2" s="1"/>
  <c r="E80" i="3" s="1"/>
  <c r="U77" i="2"/>
  <c r="V77" i="2" s="1"/>
  <c r="E79" i="3" s="1"/>
  <c r="U76" i="2"/>
  <c r="V76" i="2" s="1"/>
  <c r="E78" i="3" s="1"/>
  <c r="U75" i="2"/>
  <c r="V75" i="2" s="1"/>
  <c r="E77" i="3" s="1"/>
  <c r="U74" i="2"/>
  <c r="V74" i="2" s="1"/>
  <c r="E76" i="3" s="1"/>
  <c r="U73" i="2"/>
  <c r="V73" i="2" s="1"/>
  <c r="E75" i="3" s="1"/>
  <c r="U72" i="2"/>
  <c r="V72" i="2" s="1"/>
  <c r="E74" i="3" s="1"/>
  <c r="U71" i="2"/>
  <c r="V71" i="2" s="1"/>
  <c r="E73" i="3" s="1"/>
  <c r="U70" i="2"/>
  <c r="V70" i="2" s="1"/>
  <c r="E72" i="3" s="1"/>
  <c r="U69" i="2"/>
  <c r="V69" i="2" s="1"/>
  <c r="E71" i="3" s="1"/>
  <c r="U68" i="2"/>
  <c r="V68" i="2" s="1"/>
  <c r="E70" i="3" s="1"/>
  <c r="U67" i="2"/>
  <c r="V67" i="2" s="1"/>
  <c r="E69" i="3" s="1"/>
  <c r="U66" i="2"/>
  <c r="V66" i="2" s="1"/>
  <c r="E68" i="3" s="1"/>
  <c r="U65" i="2"/>
  <c r="V65" i="2" s="1"/>
  <c r="E67" i="3" s="1"/>
  <c r="U64" i="2"/>
  <c r="V64" i="2" s="1"/>
  <c r="E66" i="3" s="1"/>
  <c r="U63" i="2"/>
  <c r="V63" i="2" s="1"/>
  <c r="E65" i="3" s="1"/>
  <c r="U62" i="2"/>
  <c r="V62" i="2" s="1"/>
  <c r="E64" i="3" s="1"/>
  <c r="U61" i="2"/>
  <c r="V61" i="2" s="1"/>
  <c r="E63" i="3" s="1"/>
  <c r="U60" i="2"/>
  <c r="V60" i="2" s="1"/>
  <c r="E62" i="3" s="1"/>
  <c r="U59" i="2"/>
  <c r="V59" i="2" s="1"/>
  <c r="E61" i="3" s="1"/>
  <c r="U58" i="2"/>
  <c r="V58" i="2" s="1"/>
  <c r="E60" i="3" s="1"/>
  <c r="U57" i="2"/>
  <c r="V57" i="2" s="1"/>
  <c r="E59" i="3" s="1"/>
  <c r="U56" i="2"/>
  <c r="V56" i="2" s="1"/>
  <c r="E58" i="3" s="1"/>
  <c r="U55" i="2"/>
  <c r="V55" i="2" s="1"/>
  <c r="E57" i="3" s="1"/>
  <c r="U54" i="2"/>
  <c r="V54" i="2" s="1"/>
  <c r="E56" i="3" s="1"/>
  <c r="U53" i="2"/>
  <c r="V53" i="2" s="1"/>
  <c r="E55" i="3" s="1"/>
  <c r="U52" i="2"/>
  <c r="V52" i="2" s="1"/>
  <c r="E54" i="3" s="1"/>
  <c r="U51" i="2"/>
  <c r="V51" i="2" s="1"/>
  <c r="E53" i="3" s="1"/>
  <c r="U50" i="2"/>
  <c r="V50" i="2" s="1"/>
  <c r="E52" i="3" s="1"/>
  <c r="U49" i="2"/>
  <c r="V49" i="2" s="1"/>
  <c r="E51" i="3" s="1"/>
  <c r="U48" i="2"/>
  <c r="V48" i="2" s="1"/>
  <c r="E50" i="3" s="1"/>
  <c r="U47" i="2"/>
  <c r="V47" i="2" s="1"/>
  <c r="E49" i="3" s="1"/>
  <c r="U46" i="2"/>
  <c r="V46" i="2" s="1"/>
  <c r="E48" i="3" s="1"/>
  <c r="U45" i="2"/>
  <c r="V45" i="2" s="1"/>
  <c r="E47" i="3" s="1"/>
  <c r="U44" i="2"/>
  <c r="V44" i="2" s="1"/>
  <c r="E46" i="3" s="1"/>
  <c r="U43" i="2"/>
  <c r="V43" i="2" s="1"/>
  <c r="E45" i="3" s="1"/>
  <c r="U42" i="2"/>
  <c r="V42" i="2" s="1"/>
  <c r="E44" i="3" s="1"/>
  <c r="U41" i="2"/>
  <c r="V41" i="2" s="1"/>
  <c r="E43" i="3" s="1"/>
  <c r="U40" i="2"/>
  <c r="V40" i="2" s="1"/>
  <c r="E42" i="3" s="1"/>
  <c r="U39" i="2"/>
  <c r="V39" i="2" s="1"/>
  <c r="E41" i="3" s="1"/>
  <c r="U38" i="2"/>
  <c r="V38" i="2" s="1"/>
  <c r="E40" i="3" s="1"/>
  <c r="U37" i="2"/>
  <c r="V37" i="2" s="1"/>
  <c r="E39" i="3" s="1"/>
  <c r="U36" i="2"/>
  <c r="V36" i="2" s="1"/>
  <c r="E38" i="3" s="1"/>
  <c r="U35" i="2"/>
  <c r="V35" i="2" s="1"/>
  <c r="E37" i="3" s="1"/>
  <c r="U34" i="2"/>
  <c r="V34" i="2" s="1"/>
  <c r="E36" i="3" s="1"/>
  <c r="U33" i="2"/>
  <c r="V33" i="2" s="1"/>
  <c r="E35" i="3" s="1"/>
  <c r="U32" i="2"/>
  <c r="V32" i="2" s="1"/>
  <c r="E34" i="3" s="1"/>
  <c r="U31" i="2"/>
  <c r="V31" i="2" s="1"/>
  <c r="E33" i="3" s="1"/>
  <c r="U30" i="2"/>
  <c r="V30" i="2" s="1"/>
  <c r="E32" i="3" s="1"/>
  <c r="U29" i="2"/>
  <c r="V29" i="2" s="1"/>
  <c r="E31" i="3" s="1"/>
  <c r="U28" i="2"/>
  <c r="V28" i="2" s="1"/>
  <c r="E30" i="3" s="1"/>
  <c r="U27" i="2"/>
  <c r="V27" i="2" s="1"/>
  <c r="E29" i="3" s="1"/>
  <c r="U26" i="2"/>
  <c r="V26" i="2" s="1"/>
  <c r="E28" i="3" s="1"/>
  <c r="U25" i="2"/>
  <c r="V25" i="2" s="1"/>
  <c r="E27" i="3" s="1"/>
  <c r="U24" i="2"/>
  <c r="V24" i="2" s="1"/>
  <c r="E26" i="3" s="1"/>
  <c r="U23" i="2"/>
  <c r="V23" i="2" s="1"/>
  <c r="E25" i="3" s="1"/>
  <c r="U22" i="2"/>
  <c r="V22" i="2" s="1"/>
  <c r="E24" i="3" s="1"/>
  <c r="U21" i="2"/>
  <c r="V21" i="2" s="1"/>
  <c r="E23" i="3" s="1"/>
  <c r="U20" i="2"/>
  <c r="V20" i="2" s="1"/>
  <c r="E22" i="3" s="1"/>
  <c r="U19" i="2"/>
  <c r="V19" i="2" s="1"/>
  <c r="E21" i="3" s="1"/>
  <c r="U18" i="2"/>
  <c r="V18" i="2" s="1"/>
  <c r="E20" i="3" s="1"/>
  <c r="U17" i="2"/>
  <c r="V17" i="2" s="1"/>
  <c r="E19" i="3" s="1"/>
  <c r="U16" i="2"/>
  <c r="V16" i="2" s="1"/>
  <c r="E18" i="3" s="1"/>
  <c r="U15" i="2"/>
  <c r="V15" i="2" s="1"/>
  <c r="E17" i="3" s="1"/>
  <c r="U14" i="2"/>
  <c r="V14" i="2" s="1"/>
  <c r="E16" i="3" s="1"/>
  <c r="U13" i="2"/>
  <c r="V13" i="2" s="1"/>
  <c r="E15" i="3" s="1"/>
  <c r="U12" i="2"/>
  <c r="V12" i="2" s="1"/>
  <c r="E14" i="3" s="1"/>
  <c r="U11" i="2"/>
  <c r="V11" i="2" s="1"/>
  <c r="E13" i="3" s="1"/>
  <c r="U10" i="2"/>
  <c r="V10" i="2" s="1"/>
  <c r="E12" i="3" s="1"/>
  <c r="U9" i="2"/>
  <c r="V9" i="2" s="1"/>
  <c r="E11" i="3" s="1"/>
  <c r="U8" i="2"/>
  <c r="V8" i="2" s="1"/>
  <c r="E10" i="3" s="1"/>
  <c r="U7" i="2"/>
  <c r="V7" i="2" s="1"/>
  <c r="E9" i="3" s="1"/>
  <c r="U6" i="2"/>
  <c r="V6" i="2" s="1"/>
  <c r="E8" i="3" s="1"/>
  <c r="U5" i="2"/>
  <c r="U4" i="2"/>
  <c r="V4" i="2" s="1"/>
  <c r="E6" i="3" s="1"/>
  <c r="U3" i="2"/>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10" i="3"/>
  <c r="C9" i="3"/>
  <c r="C8" i="3"/>
  <c r="C7" i="3"/>
  <c r="C6" i="3"/>
  <c r="C5" i="3"/>
  <c r="V5" i="2" l="1"/>
  <c r="E7" i="3" s="1"/>
  <c r="V4" i="1"/>
  <c r="D6" i="3" s="1"/>
  <c r="F6" i="3" s="1"/>
  <c r="F22" i="3"/>
  <c r="F26" i="3"/>
  <c r="F54" i="3"/>
  <c r="F70" i="3"/>
  <c r="F86" i="3"/>
  <c r="F102" i="3"/>
  <c r="F118" i="3"/>
  <c r="F134" i="3"/>
  <c r="F150" i="3"/>
  <c r="F182" i="3"/>
  <c r="F190" i="3"/>
  <c r="F198" i="3"/>
  <c r="F214" i="3"/>
  <c r="F226" i="3"/>
  <c r="F246" i="3"/>
  <c r="F262" i="3"/>
  <c r="F278" i="3"/>
  <c r="F350" i="3"/>
  <c r="F382" i="3"/>
  <c r="F410" i="3"/>
  <c r="F498" i="3"/>
  <c r="F682" i="3"/>
  <c r="F754" i="3"/>
  <c r="V5" i="1"/>
  <c r="D7" i="3" s="1"/>
  <c r="F12" i="3"/>
  <c r="V3" i="2"/>
  <c r="E5" i="3" s="1"/>
  <c r="V3" i="1"/>
  <c r="D5" i="3" s="1"/>
  <c r="G80" i="3"/>
  <c r="F810" i="3"/>
  <c r="F17" i="3"/>
  <c r="F49" i="3"/>
  <c r="F65" i="3"/>
  <c r="F81" i="3"/>
  <c r="F113" i="3"/>
  <c r="F129" i="3"/>
  <c r="F145" i="3"/>
  <c r="F149" i="3"/>
  <c r="F177" i="3"/>
  <c r="F193" i="3"/>
  <c r="F209" i="3"/>
  <c r="F241" i="3"/>
  <c r="F257" i="3"/>
  <c r="F273" i="3"/>
  <c r="F305" i="3"/>
  <c r="F313" i="3"/>
  <c r="F321" i="3"/>
  <c r="F337" i="3"/>
  <c r="F441" i="3"/>
  <c r="F469" i="3"/>
  <c r="F737" i="3"/>
  <c r="F865" i="3"/>
  <c r="F646" i="3"/>
  <c r="F774" i="3"/>
  <c r="F938" i="3"/>
  <c r="G9" i="3"/>
  <c r="G953" i="3"/>
  <c r="G901" i="3"/>
  <c r="G893" i="3"/>
  <c r="G877" i="3"/>
  <c r="G869" i="3"/>
  <c r="G865" i="3"/>
  <c r="G825" i="3"/>
  <c r="G773" i="3"/>
  <c r="G765" i="3"/>
  <c r="G749" i="3"/>
  <c r="G741" i="3"/>
  <c r="G737" i="3"/>
  <c r="G709" i="3"/>
  <c r="G677" i="3"/>
  <c r="G810" i="3"/>
  <c r="G778" i="3"/>
  <c r="G714" i="3"/>
  <c r="G682" i="3"/>
  <c r="G650" i="3"/>
  <c r="G506" i="3"/>
  <c r="G490" i="3"/>
  <c r="G462" i="3"/>
  <c r="G410" i="3"/>
  <c r="G382" i="3"/>
  <c r="G366" i="3"/>
  <c r="G350" i="3"/>
  <c r="G334" i="3"/>
  <c r="G314" i="3"/>
  <c r="G298" i="3"/>
  <c r="G282" i="3"/>
  <c r="G250" i="3"/>
  <c r="G234" i="3"/>
  <c r="G202" i="3"/>
  <c r="G190" i="3"/>
  <c r="G186" i="3"/>
  <c r="G174" i="3"/>
  <c r="G170" i="3"/>
  <c r="G122" i="3"/>
  <c r="G106" i="3"/>
  <c r="G94" i="3"/>
  <c r="G78" i="3"/>
  <c r="G58" i="3"/>
  <c r="G42" i="3"/>
  <c r="G26" i="3"/>
  <c r="G10" i="3"/>
  <c r="G345" i="3"/>
  <c r="G325" i="3"/>
  <c r="G313" i="3"/>
  <c r="G309" i="3"/>
  <c r="G297" i="3"/>
  <c r="G265" i="3"/>
  <c r="G261" i="3"/>
  <c r="G245" i="3"/>
  <c r="G197" i="3"/>
  <c r="G181" i="3"/>
  <c r="G165" i="3"/>
  <c r="G149" i="3"/>
  <c r="G133" i="3"/>
  <c r="G117" i="3"/>
  <c r="G89" i="3"/>
  <c r="G69" i="3"/>
  <c r="G57" i="3"/>
  <c r="G53" i="3"/>
  <c r="G41" i="3"/>
  <c r="G938" i="3"/>
  <c r="G678" i="3"/>
  <c r="G255" i="3"/>
  <c r="G975" i="3"/>
  <c r="G971" i="3"/>
  <c r="G967" i="3"/>
  <c r="G963" i="3"/>
  <c r="G959" i="3"/>
  <c r="G955" i="3"/>
  <c r="G947" i="3"/>
  <c r="G943" i="3"/>
  <c r="G935" i="3"/>
  <c r="G927" i="3"/>
  <c r="G923" i="3"/>
  <c r="G919" i="3"/>
  <c r="G911" i="3"/>
  <c r="G907" i="3"/>
  <c r="G899" i="3"/>
  <c r="G895" i="3"/>
  <c r="G887" i="3"/>
  <c r="G883" i="3"/>
  <c r="G879" i="3"/>
  <c r="G875" i="3"/>
  <c r="G871" i="3"/>
  <c r="G863" i="3"/>
  <c r="G859" i="3"/>
  <c r="G847" i="3"/>
  <c r="G835" i="3"/>
  <c r="G831" i="3"/>
  <c r="G827" i="3"/>
  <c r="G823" i="3"/>
  <c r="G819" i="3"/>
  <c r="G815" i="3"/>
  <c r="G811" i="3"/>
  <c r="G807" i="3"/>
  <c r="G799" i="3"/>
  <c r="G795" i="3"/>
  <c r="G791" i="3"/>
  <c r="G783" i="3"/>
  <c r="G779" i="3"/>
  <c r="G771" i="3"/>
  <c r="G767" i="3"/>
  <c r="G759" i="3"/>
  <c r="G755" i="3"/>
  <c r="G751" i="3"/>
  <c r="G747" i="3"/>
  <c r="G743" i="3"/>
  <c r="G735" i="3"/>
  <c r="G731" i="3"/>
  <c r="G715" i="3"/>
  <c r="G699" i="3"/>
  <c r="G683" i="3"/>
  <c r="G667" i="3"/>
  <c r="G651" i="3"/>
  <c r="G635" i="3"/>
  <c r="G619" i="3"/>
  <c r="G603" i="3"/>
  <c r="G587" i="3"/>
  <c r="G571" i="3"/>
  <c r="G555" i="3"/>
  <c r="G539" i="3"/>
  <c r="G523" i="3"/>
  <c r="G339" i="3"/>
  <c r="G323" i="3"/>
  <c r="G307" i="3"/>
  <c r="G291" i="3"/>
  <c r="G275" i="3"/>
  <c r="G259" i="3"/>
  <c r="G243" i="3"/>
  <c r="G227" i="3"/>
  <c r="G211" i="3"/>
  <c r="G195" i="3"/>
  <c r="G179" i="3"/>
  <c r="G163" i="3"/>
  <c r="G147" i="3"/>
  <c r="G131" i="3"/>
  <c r="G115" i="3"/>
  <c r="G99" i="3"/>
  <c r="G83" i="3"/>
  <c r="G67" i="3"/>
  <c r="G51" i="3"/>
  <c r="G35" i="3"/>
  <c r="G19" i="3"/>
  <c r="G891" i="3"/>
  <c r="G867" i="3"/>
  <c r="G855" i="3"/>
  <c r="G739" i="3"/>
  <c r="G707" i="3"/>
  <c r="G691" i="3"/>
  <c r="G659" i="3"/>
  <c r="G643" i="3"/>
  <c r="G631" i="3"/>
  <c r="G595" i="3"/>
  <c r="G579" i="3"/>
  <c r="G567" i="3"/>
  <c r="G551" i="3"/>
  <c r="G806" i="3"/>
  <c r="G939" i="3"/>
  <c r="G931" i="3"/>
  <c r="G839" i="3"/>
  <c r="G803" i="3"/>
  <c r="G727" i="3"/>
  <c r="G695" i="3"/>
  <c r="G687" i="3"/>
  <c r="G679" i="3"/>
  <c r="G647" i="3"/>
  <c r="G639" i="3"/>
  <c r="G611" i="3"/>
  <c r="G563" i="3"/>
  <c r="G559" i="3"/>
  <c r="G535" i="3"/>
  <c r="G527" i="3"/>
  <c r="G874" i="3"/>
  <c r="G786" i="3"/>
  <c r="G754" i="3"/>
  <c r="G746" i="3"/>
  <c r="G722" i="3"/>
  <c r="G690" i="3"/>
  <c r="G658" i="3"/>
  <c r="G642" i="3"/>
  <c r="G514" i="3"/>
  <c r="G498" i="3"/>
  <c r="G482" i="3"/>
  <c r="G402" i="3"/>
  <c r="G774" i="3"/>
  <c r="G646" i="3"/>
  <c r="G454" i="3"/>
  <c r="G951" i="3"/>
  <c r="G851" i="3"/>
  <c r="G843" i="3"/>
  <c r="G763" i="3"/>
  <c r="G723" i="3"/>
  <c r="G719" i="3"/>
  <c r="G711" i="3"/>
  <c r="G703" i="3"/>
  <c r="G675" i="3"/>
  <c r="G671" i="3"/>
  <c r="G663" i="3"/>
  <c r="G655" i="3"/>
  <c r="G627" i="3"/>
  <c r="G623" i="3"/>
  <c r="G615" i="3"/>
  <c r="G607" i="3"/>
  <c r="G599" i="3"/>
  <c r="G591" i="3"/>
  <c r="G583" i="3"/>
  <c r="G575" i="3"/>
  <c r="G547" i="3"/>
  <c r="G543" i="3"/>
  <c r="G531" i="3"/>
  <c r="G511" i="3"/>
  <c r="G941" i="3"/>
  <c r="G933" i="3"/>
  <c r="G929" i="3"/>
  <c r="G889" i="3"/>
  <c r="G837" i="3"/>
  <c r="G829" i="3"/>
  <c r="G813" i="3"/>
  <c r="G805" i="3"/>
  <c r="G801" i="3"/>
  <c r="G761" i="3"/>
  <c r="G705" i="3"/>
  <c r="G673" i="3"/>
  <c r="G906" i="3"/>
  <c r="G842" i="3"/>
  <c r="G775" i="3"/>
  <c r="G915" i="3"/>
  <c r="G903" i="3"/>
  <c r="G787" i="3"/>
  <c r="G574" i="3"/>
  <c r="G210" i="3"/>
  <c r="G130" i="3"/>
  <c r="G114" i="3"/>
  <c r="G135" i="3"/>
  <c r="G969" i="3"/>
  <c r="G925" i="3"/>
  <c r="G797" i="3"/>
  <c r="G793" i="3"/>
  <c r="G781" i="3"/>
  <c r="G769" i="3"/>
  <c r="G733" i="3"/>
  <c r="G729" i="3"/>
  <c r="G717" i="3"/>
  <c r="G697" i="3"/>
  <c r="G685" i="3"/>
  <c r="G669" i="3"/>
  <c r="G665" i="3"/>
  <c r="G653" i="3"/>
  <c r="G637" i="3"/>
  <c r="G621" i="3"/>
  <c r="G605" i="3"/>
  <c r="G589" i="3"/>
  <c r="G573" i="3"/>
  <c r="G557" i="3"/>
  <c r="G541" i="3"/>
  <c r="G521" i="3"/>
  <c r="G469" i="3"/>
  <c r="G449" i="3"/>
  <c r="G441" i="3"/>
  <c r="G433" i="3"/>
  <c r="G425" i="3"/>
  <c r="G417" i="3"/>
  <c r="G397" i="3"/>
  <c r="G389" i="3"/>
  <c r="G321" i="3"/>
  <c r="G305" i="3"/>
  <c r="G289" i="3"/>
  <c r="G273" i="3"/>
  <c r="G257" i="3"/>
  <c r="G253" i="3"/>
  <c r="G241" i="3"/>
  <c r="G237" i="3"/>
  <c r="G209" i="3"/>
  <c r="G193" i="3"/>
  <c r="G177" i="3"/>
  <c r="G157" i="3"/>
  <c r="G145" i="3"/>
  <c r="G141" i="3"/>
  <c r="G129" i="3"/>
  <c r="G113" i="3"/>
  <c r="G81" i="3"/>
  <c r="G65" i="3"/>
  <c r="G49" i="3"/>
  <c r="G33" i="3"/>
  <c r="G17" i="3"/>
  <c r="G542" i="3"/>
  <c r="G226" i="3"/>
  <c r="G921" i="3"/>
  <c r="G909" i="3"/>
  <c r="G897" i="3"/>
  <c r="G861" i="3"/>
  <c r="G857" i="3"/>
  <c r="G845" i="3"/>
  <c r="G833" i="3"/>
  <c r="G701" i="3"/>
  <c r="G344" i="3"/>
  <c r="G340" i="3"/>
  <c r="G332" i="3"/>
  <c r="G328" i="3"/>
  <c r="G324" i="3"/>
  <c r="G320" i="3"/>
  <c r="G316" i="3"/>
  <c r="G312" i="3"/>
  <c r="G308" i="3"/>
  <c r="G304" i="3"/>
  <c r="G300" i="3"/>
  <c r="G296" i="3"/>
  <c r="G292" i="3"/>
  <c r="G288" i="3"/>
  <c r="G280" i="3"/>
  <c r="G276" i="3"/>
  <c r="G272" i="3"/>
  <c r="G268" i="3"/>
  <c r="G264" i="3"/>
  <c r="G256" i="3"/>
  <c r="G252" i="3"/>
  <c r="G248" i="3"/>
  <c r="G244" i="3"/>
  <c r="G240" i="3"/>
  <c r="G236" i="3"/>
  <c r="G232" i="3"/>
  <c r="G228" i="3"/>
  <c r="G224" i="3"/>
  <c r="G220" i="3"/>
  <c r="G216" i="3"/>
  <c r="G212" i="3"/>
  <c r="G204" i="3"/>
  <c r="G200" i="3"/>
  <c r="G192" i="3"/>
  <c r="G188" i="3"/>
  <c r="G184" i="3"/>
  <c r="G180" i="3"/>
  <c r="G176" i="3"/>
  <c r="G172" i="3"/>
  <c r="G168" i="3"/>
  <c r="G164" i="3"/>
  <c r="G160" i="3"/>
  <c r="G152" i="3"/>
  <c r="G148" i="3"/>
  <c r="G140" i="3"/>
  <c r="G136" i="3"/>
  <c r="G128" i="3"/>
  <c r="G124" i="3"/>
  <c r="G120" i="3"/>
  <c r="G116" i="3"/>
  <c r="G112" i="3"/>
  <c r="G108" i="3"/>
  <c r="G104" i="3"/>
  <c r="G100" i="3"/>
  <c r="G96" i="3"/>
  <c r="G88" i="3"/>
  <c r="G84" i="3"/>
  <c r="G76" i="3"/>
  <c r="G72" i="3"/>
  <c r="G68" i="3"/>
  <c r="G64" i="3"/>
  <c r="G60" i="3"/>
  <c r="G56" i="3"/>
  <c r="G52" i="3"/>
  <c r="G48" i="3"/>
  <c r="G44" i="3"/>
  <c r="G40" i="3"/>
  <c r="G36" i="3"/>
  <c r="G32" i="3"/>
  <c r="G24" i="3"/>
  <c r="G20" i="3"/>
  <c r="G16" i="3"/>
  <c r="G12" i="3"/>
  <c r="G519" i="3"/>
  <c r="G515"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35" i="3"/>
  <c r="G319" i="3"/>
  <c r="G303" i="3"/>
  <c r="G287" i="3"/>
  <c r="G271" i="3"/>
  <c r="G239" i="3"/>
  <c r="G223" i="3"/>
  <c r="G207" i="3"/>
  <c r="G191" i="3"/>
  <c r="G175" i="3"/>
  <c r="G159" i="3"/>
  <c r="G143" i="3"/>
  <c r="G127" i="3"/>
  <c r="G111" i="3"/>
  <c r="G95" i="3"/>
  <c r="G79" i="3"/>
  <c r="G63" i="3"/>
  <c r="G47" i="3"/>
  <c r="G31" i="3"/>
  <c r="G15" i="3"/>
  <c r="G742" i="3"/>
  <c r="G614" i="3"/>
  <c r="G976" i="3"/>
  <c r="G972" i="3"/>
  <c r="G968" i="3"/>
  <c r="G964" i="3"/>
  <c r="G960" i="3"/>
  <c r="G956" i="3"/>
  <c r="G952" i="3"/>
  <c r="G948" i="3"/>
  <c r="G944" i="3"/>
  <c r="G940" i="3"/>
  <c r="G936" i="3"/>
  <c r="G932" i="3"/>
  <c r="G928" i="3"/>
  <c r="G924" i="3"/>
  <c r="G920" i="3"/>
  <c r="G916" i="3"/>
  <c r="G912" i="3"/>
  <c r="G908" i="3"/>
  <c r="G904" i="3"/>
  <c r="G900" i="3"/>
  <c r="G896" i="3"/>
  <c r="G892" i="3"/>
  <c r="G888" i="3"/>
  <c r="G884" i="3"/>
  <c r="G880" i="3"/>
  <c r="G876" i="3"/>
  <c r="G872" i="3"/>
  <c r="G868" i="3"/>
  <c r="G864" i="3"/>
  <c r="G860" i="3"/>
  <c r="G856" i="3"/>
  <c r="G852" i="3"/>
  <c r="G848" i="3"/>
  <c r="G844" i="3"/>
  <c r="G840" i="3"/>
  <c r="G836" i="3"/>
  <c r="G832" i="3"/>
  <c r="G828" i="3"/>
  <c r="G824" i="3"/>
  <c r="G820" i="3"/>
  <c r="G816" i="3"/>
  <c r="G812" i="3"/>
  <c r="G808" i="3"/>
  <c r="G804" i="3"/>
  <c r="G800" i="3"/>
  <c r="G796" i="3"/>
  <c r="G792" i="3"/>
  <c r="G788" i="3"/>
  <c r="G784" i="3"/>
  <c r="G780" i="3"/>
  <c r="G776" i="3"/>
  <c r="G772" i="3"/>
  <c r="G768" i="3"/>
  <c r="G764" i="3"/>
  <c r="G760" i="3"/>
  <c r="G756" i="3"/>
  <c r="G752" i="3"/>
  <c r="G748" i="3"/>
  <c r="G744" i="3"/>
  <c r="G740" i="3"/>
  <c r="G736" i="3"/>
  <c r="G732" i="3"/>
  <c r="G728" i="3"/>
  <c r="G724" i="3"/>
  <c r="G720" i="3"/>
  <c r="G716" i="3"/>
  <c r="G712" i="3"/>
  <c r="G708" i="3"/>
  <c r="G704" i="3"/>
  <c r="G700" i="3"/>
  <c r="G696" i="3"/>
  <c r="G337" i="3"/>
  <c r="G710" i="3"/>
  <c r="G582" i="3"/>
  <c r="G326" i="3"/>
  <c r="G688" i="3"/>
  <c r="G680" i="3"/>
  <c r="G672" i="3"/>
  <c r="G664" i="3"/>
  <c r="G656" i="3"/>
  <c r="G652" i="3"/>
  <c r="G644" i="3"/>
  <c r="G632" i="3"/>
  <c r="G624" i="3"/>
  <c r="G616" i="3"/>
  <c r="G608" i="3"/>
  <c r="G596" i="3"/>
  <c r="G588" i="3"/>
  <c r="G584" i="3"/>
  <c r="G576" i="3"/>
  <c r="G564" i="3"/>
  <c r="G552" i="3"/>
  <c r="G544" i="3"/>
  <c r="G536" i="3"/>
  <c r="G528" i="3"/>
  <c r="G520" i="3"/>
  <c r="G508" i="3"/>
  <c r="G500" i="3"/>
  <c r="G492" i="3"/>
  <c r="G484" i="3"/>
  <c r="G476" i="3"/>
  <c r="G468" i="3"/>
  <c r="G456" i="3"/>
  <c r="G444" i="3"/>
  <c r="G436" i="3"/>
  <c r="G428" i="3"/>
  <c r="G420" i="3"/>
  <c r="G404" i="3"/>
  <c r="G396" i="3"/>
  <c r="G384" i="3"/>
  <c r="G380" i="3"/>
  <c r="G372" i="3"/>
  <c r="G368" i="3"/>
  <c r="G360" i="3"/>
  <c r="G356" i="3"/>
  <c r="G352" i="3"/>
  <c r="G347" i="3"/>
  <c r="G343" i="3"/>
  <c r="G331" i="3"/>
  <c r="G327" i="3"/>
  <c r="G315" i="3"/>
  <c r="G311" i="3"/>
  <c r="G299" i="3"/>
  <c r="G295" i="3"/>
  <c r="G283" i="3"/>
  <c r="G279" i="3"/>
  <c r="G267" i="3"/>
  <c r="G263" i="3"/>
  <c r="G251" i="3"/>
  <c r="G247" i="3"/>
  <c r="G235" i="3"/>
  <c r="G231" i="3"/>
  <c r="G219" i="3"/>
  <c r="G215" i="3"/>
  <c r="G203" i="3"/>
  <c r="G199" i="3"/>
  <c r="G187" i="3"/>
  <c r="G183" i="3"/>
  <c r="G171" i="3"/>
  <c r="G167" i="3"/>
  <c r="G155" i="3"/>
  <c r="G151" i="3"/>
  <c r="G139" i="3"/>
  <c r="G123" i="3"/>
  <c r="G119" i="3"/>
  <c r="G107" i="3"/>
  <c r="G103" i="3"/>
  <c r="G91" i="3"/>
  <c r="G87" i="3"/>
  <c r="G75" i="3"/>
  <c r="G71" i="3"/>
  <c r="G59" i="3"/>
  <c r="G55" i="3"/>
  <c r="G43" i="3"/>
  <c r="G39" i="3"/>
  <c r="G27" i="3"/>
  <c r="G23" i="3"/>
  <c r="G11" i="3"/>
  <c r="G692" i="3"/>
  <c r="G684" i="3"/>
  <c r="G676" i="3"/>
  <c r="G668" i="3"/>
  <c r="G660" i="3"/>
  <c r="G648" i="3"/>
  <c r="G640" i="3"/>
  <c r="G628" i="3"/>
  <c r="G620" i="3"/>
  <c r="G612" i="3"/>
  <c r="G600" i="3"/>
  <c r="G592" i="3"/>
  <c r="G580" i="3"/>
  <c r="G568" i="3"/>
  <c r="G560" i="3"/>
  <c r="G556" i="3"/>
  <c r="G548" i="3"/>
  <c r="G532" i="3"/>
  <c r="G524" i="3"/>
  <c r="G512" i="3"/>
  <c r="G504" i="3"/>
  <c r="G496" i="3"/>
  <c r="G488" i="3"/>
  <c r="G480" i="3"/>
  <c r="G472" i="3"/>
  <c r="G460" i="3"/>
  <c r="G448" i="3"/>
  <c r="G440" i="3"/>
  <c r="G432" i="3"/>
  <c r="G424" i="3"/>
  <c r="G416" i="3"/>
  <c r="G408" i="3"/>
  <c r="G392" i="3"/>
  <c r="G376" i="3"/>
  <c r="G364" i="3"/>
  <c r="G342" i="3"/>
  <c r="G310" i="3"/>
  <c r="G278" i="3"/>
  <c r="G262" i="3"/>
  <c r="G246" i="3"/>
  <c r="G214" i="3"/>
  <c r="G198" i="3"/>
  <c r="G182" i="3"/>
  <c r="G150" i="3"/>
  <c r="G134" i="3"/>
  <c r="G118" i="3"/>
  <c r="G102" i="3"/>
  <c r="G86" i="3"/>
  <c r="G70" i="3"/>
  <c r="G54" i="3"/>
  <c r="G22" i="3"/>
  <c r="G974" i="3"/>
  <c r="F974" i="3"/>
  <c r="G966" i="3"/>
  <c r="F966" i="3"/>
  <c r="G962" i="3"/>
  <c r="F962" i="3"/>
  <c r="G958" i="3"/>
  <c r="F958" i="3"/>
  <c r="G950" i="3"/>
  <c r="F950" i="3"/>
  <c r="G946" i="3"/>
  <c r="F946" i="3"/>
  <c r="G942" i="3"/>
  <c r="F942" i="3"/>
  <c r="G934" i="3"/>
  <c r="F934" i="3"/>
  <c r="G930" i="3"/>
  <c r="F930" i="3"/>
  <c r="G926" i="3"/>
  <c r="F926" i="3"/>
  <c r="G918" i="3"/>
  <c r="F918" i="3"/>
  <c r="G914" i="3"/>
  <c r="F914" i="3"/>
  <c r="G910" i="3"/>
  <c r="F910" i="3"/>
  <c r="G902" i="3"/>
  <c r="F902" i="3"/>
  <c r="G898" i="3"/>
  <c r="F898" i="3"/>
  <c r="G894" i="3"/>
  <c r="F894" i="3"/>
  <c r="G886" i="3"/>
  <c r="F886" i="3"/>
  <c r="G882" i="3"/>
  <c r="F882" i="3"/>
  <c r="G878" i="3"/>
  <c r="F878" i="3"/>
  <c r="G870" i="3"/>
  <c r="F870" i="3"/>
  <c r="G866" i="3"/>
  <c r="F866" i="3"/>
  <c r="G862" i="3"/>
  <c r="F862" i="3"/>
  <c r="G854" i="3"/>
  <c r="F854" i="3"/>
  <c r="G850" i="3"/>
  <c r="F850" i="3"/>
  <c r="G846" i="3"/>
  <c r="F846" i="3"/>
  <c r="G838" i="3"/>
  <c r="F838" i="3"/>
  <c r="G834" i="3"/>
  <c r="F834" i="3"/>
  <c r="G830" i="3"/>
  <c r="F830" i="3"/>
  <c r="G822" i="3"/>
  <c r="F822" i="3"/>
  <c r="G818" i="3"/>
  <c r="F818" i="3"/>
  <c r="G814" i="3"/>
  <c r="F814" i="3"/>
  <c r="G798" i="3"/>
  <c r="F798" i="3"/>
  <c r="G790" i="3"/>
  <c r="F790" i="3"/>
  <c r="G782" i="3"/>
  <c r="F782" i="3"/>
  <c r="G766" i="3"/>
  <c r="F766" i="3"/>
  <c r="G758" i="3"/>
  <c r="F758" i="3"/>
  <c r="G750" i="3"/>
  <c r="F750" i="3"/>
  <c r="G734" i="3"/>
  <c r="F734" i="3"/>
  <c r="G726" i="3"/>
  <c r="F726" i="3"/>
  <c r="G718" i="3"/>
  <c r="F718" i="3"/>
  <c r="G702" i="3"/>
  <c r="F702" i="3"/>
  <c r="G694" i="3"/>
  <c r="F694" i="3"/>
  <c r="G686" i="3"/>
  <c r="F686" i="3"/>
  <c r="G670" i="3"/>
  <c r="F670" i="3"/>
  <c r="G662" i="3"/>
  <c r="F662" i="3"/>
  <c r="G654" i="3"/>
  <c r="F654" i="3"/>
  <c r="G638" i="3"/>
  <c r="F638" i="3"/>
  <c r="G630" i="3"/>
  <c r="F630" i="3"/>
  <c r="G622" i="3"/>
  <c r="F622" i="3"/>
  <c r="G606" i="3"/>
  <c r="F606" i="3"/>
  <c r="G598" i="3"/>
  <c r="F598" i="3"/>
  <c r="G590" i="3"/>
  <c r="F590" i="3"/>
  <c r="G566" i="3"/>
  <c r="F566" i="3"/>
  <c r="G550" i="3"/>
  <c r="F550" i="3"/>
  <c r="G534" i="3"/>
  <c r="F534" i="3"/>
  <c r="G502" i="3"/>
  <c r="F502" i="3"/>
  <c r="G486" i="3"/>
  <c r="F486" i="3"/>
  <c r="G470" i="3"/>
  <c r="F470" i="3"/>
  <c r="G438" i="3"/>
  <c r="F438" i="3"/>
  <c r="G422" i="3"/>
  <c r="F422" i="3"/>
  <c r="G406" i="3"/>
  <c r="F406" i="3"/>
  <c r="G374" i="3"/>
  <c r="F374" i="3"/>
  <c r="G358" i="3"/>
  <c r="F358" i="3"/>
  <c r="G294" i="3"/>
  <c r="F294" i="3"/>
  <c r="G516" i="3"/>
  <c r="F516" i="3"/>
  <c r="G284" i="3"/>
  <c r="F284" i="3"/>
  <c r="G208" i="3"/>
  <c r="F208" i="3"/>
  <c r="G196" i="3"/>
  <c r="F196" i="3"/>
  <c r="G156" i="3"/>
  <c r="F156" i="3"/>
  <c r="G132" i="3"/>
  <c r="F132" i="3"/>
  <c r="F80" i="3"/>
  <c r="G28" i="3"/>
  <c r="F28" i="3"/>
  <c r="F956" i="3"/>
  <c r="F848" i="3"/>
  <c r="F720" i="3"/>
  <c r="F560" i="3"/>
  <c r="G858" i="3"/>
  <c r="F858" i="3"/>
  <c r="G518" i="3"/>
  <c r="F518" i="3"/>
  <c r="G390" i="3"/>
  <c r="F390" i="3"/>
  <c r="F968" i="3"/>
  <c r="F960" i="3"/>
  <c r="F948" i="3"/>
  <c r="F940" i="3"/>
  <c r="F928" i="3"/>
  <c r="F916" i="3"/>
  <c r="F900" i="3"/>
  <c r="F888" i="3"/>
  <c r="F868" i="3"/>
  <c r="F856" i="3"/>
  <c r="F840" i="3"/>
  <c r="F824" i="3"/>
  <c r="F812" i="3"/>
  <c r="F804" i="3"/>
  <c r="F788" i="3"/>
  <c r="F780" i="3"/>
  <c r="F768" i="3"/>
  <c r="F756" i="3"/>
  <c r="F740" i="3"/>
  <c r="F728" i="3"/>
  <c r="F712" i="3"/>
  <c r="F696" i="3"/>
  <c r="F684" i="3"/>
  <c r="F676" i="3"/>
  <c r="F652" i="3"/>
  <c r="F644" i="3"/>
  <c r="F632" i="3"/>
  <c r="F620" i="3"/>
  <c r="F612" i="3"/>
  <c r="F596" i="3"/>
  <c r="F584" i="3"/>
  <c r="F568" i="3"/>
  <c r="F556" i="3"/>
  <c r="F544" i="3"/>
  <c r="F524" i="3"/>
  <c r="F512" i="3"/>
  <c r="F504" i="3"/>
  <c r="F496" i="3"/>
  <c r="F484" i="3"/>
  <c r="F468" i="3"/>
  <c r="F456" i="3"/>
  <c r="F444" i="3"/>
  <c r="F432" i="3"/>
  <c r="F424" i="3"/>
  <c r="F416" i="3"/>
  <c r="F396" i="3"/>
  <c r="F384" i="3"/>
  <c r="F372" i="3"/>
  <c r="F364" i="3"/>
  <c r="F352" i="3"/>
  <c r="F328" i="3"/>
  <c r="F312" i="3"/>
  <c r="F300" i="3"/>
  <c r="F296" i="3"/>
  <c r="F276" i="3"/>
  <c r="F264" i="3"/>
  <c r="F252" i="3"/>
  <c r="F244" i="3"/>
  <c r="F236" i="3"/>
  <c r="F228" i="3"/>
  <c r="F224" i="3"/>
  <c r="F212" i="3"/>
  <c r="F204" i="3"/>
  <c r="F200" i="3"/>
  <c r="F192" i="3"/>
  <c r="F188" i="3"/>
  <c r="F184" i="3"/>
  <c r="F180" i="3"/>
  <c r="F176" i="3"/>
  <c r="F168" i="3"/>
  <c r="F164" i="3"/>
  <c r="F160" i="3"/>
  <c r="F152" i="3"/>
  <c r="F148" i="3"/>
  <c r="F140" i="3"/>
  <c r="F136" i="3"/>
  <c r="F128" i="3"/>
  <c r="F124" i="3"/>
  <c r="F120" i="3"/>
  <c r="F116" i="3"/>
  <c r="F112" i="3"/>
  <c r="F108" i="3"/>
  <c r="F104" i="3"/>
  <c r="F100" i="3"/>
  <c r="F96" i="3"/>
  <c r="F88" i="3"/>
  <c r="F84" i="3"/>
  <c r="F76" i="3"/>
  <c r="F72" i="3"/>
  <c r="F64" i="3"/>
  <c r="F60" i="3"/>
  <c r="F56" i="3"/>
  <c r="F52" i="3"/>
  <c r="F48" i="3"/>
  <c r="F44" i="3"/>
  <c r="F40" i="3"/>
  <c r="F36" i="3"/>
  <c r="F32" i="3"/>
  <c r="F24" i="3"/>
  <c r="F897" i="3"/>
  <c r="F880" i="3"/>
  <c r="F860" i="3"/>
  <c r="F842" i="3"/>
  <c r="F806" i="3"/>
  <c r="F786" i="3"/>
  <c r="F769" i="3"/>
  <c r="F752" i="3"/>
  <c r="F732" i="3"/>
  <c r="F714" i="3"/>
  <c r="F678" i="3"/>
  <c r="F658" i="3"/>
  <c r="F642" i="3"/>
  <c r="F614" i="3"/>
  <c r="F582" i="3"/>
  <c r="F521" i="3"/>
  <c r="F490" i="3"/>
  <c r="F462" i="3"/>
  <c r="F433" i="3"/>
  <c r="F402" i="3"/>
  <c r="F345" i="3"/>
  <c r="F297" i="3"/>
  <c r="F265" i="3"/>
  <c r="F220" i="3"/>
  <c r="F174" i="3"/>
  <c r="F141" i="3"/>
  <c r="F94" i="3"/>
  <c r="F57" i="3"/>
  <c r="F16" i="3"/>
  <c r="G452" i="3"/>
  <c r="F452" i="3"/>
  <c r="G348" i="3"/>
  <c r="F348" i="3"/>
  <c r="G260" i="3"/>
  <c r="F260" i="3"/>
  <c r="F972" i="3"/>
  <c r="F624" i="3"/>
  <c r="F272" i="3"/>
  <c r="F68" i="3"/>
  <c r="G970" i="3"/>
  <c r="F970" i="3"/>
  <c r="G922" i="3"/>
  <c r="F922" i="3"/>
  <c r="F976" i="3"/>
  <c r="F932" i="3"/>
  <c r="F904" i="3"/>
  <c r="F876" i="3"/>
  <c r="F852" i="3"/>
  <c r="F832" i="3"/>
  <c r="F772" i="3"/>
  <c r="F748" i="3"/>
  <c r="F708" i="3"/>
  <c r="F680" i="3"/>
  <c r="F664" i="3"/>
  <c r="F648" i="3"/>
  <c r="F600" i="3"/>
  <c r="F576" i="3"/>
  <c r="F552" i="3"/>
  <c r="F536" i="3"/>
  <c r="F488" i="3"/>
  <c r="F436" i="3"/>
  <c r="F408" i="3"/>
  <c r="F380" i="3"/>
  <c r="F356" i="3"/>
  <c r="F310" i="3"/>
  <c r="F340" i="3"/>
  <c r="F320" i="3"/>
  <c r="F308" i="3"/>
  <c r="F288" i="3"/>
  <c r="F256" i="3"/>
  <c r="F248" i="3"/>
  <c r="F232" i="3"/>
  <c r="F216" i="3"/>
  <c r="F172" i="3"/>
  <c r="G802" i="3"/>
  <c r="F802" i="3"/>
  <c r="G794" i="3"/>
  <c r="F794" i="3"/>
  <c r="G770" i="3"/>
  <c r="F770" i="3"/>
  <c r="G762" i="3"/>
  <c r="F762" i="3"/>
  <c r="G738" i="3"/>
  <c r="F738" i="3"/>
  <c r="G730" i="3"/>
  <c r="F730" i="3"/>
  <c r="G706" i="3"/>
  <c r="F706" i="3"/>
  <c r="G698" i="3"/>
  <c r="F698" i="3"/>
  <c r="G674" i="3"/>
  <c r="F674" i="3"/>
  <c r="G666" i="3"/>
  <c r="F666" i="3"/>
  <c r="G634" i="3"/>
  <c r="F634" i="3"/>
  <c r="G626" i="3"/>
  <c r="F626" i="3"/>
  <c r="G618" i="3"/>
  <c r="F618" i="3"/>
  <c r="G610" i="3"/>
  <c r="F610" i="3"/>
  <c r="G602" i="3"/>
  <c r="F602" i="3"/>
  <c r="G594" i="3"/>
  <c r="F594" i="3"/>
  <c r="G586" i="3"/>
  <c r="F586" i="3"/>
  <c r="G578" i="3"/>
  <c r="F578" i="3"/>
  <c r="G570" i="3"/>
  <c r="F570" i="3"/>
  <c r="G562" i="3"/>
  <c r="F562" i="3"/>
  <c r="G558" i="3"/>
  <c r="F558" i="3"/>
  <c r="G554" i="3"/>
  <c r="F554" i="3"/>
  <c r="G546" i="3"/>
  <c r="F546" i="3"/>
  <c r="G538" i="3"/>
  <c r="F538" i="3"/>
  <c r="G530" i="3"/>
  <c r="F530" i="3"/>
  <c r="G526" i="3"/>
  <c r="F526" i="3"/>
  <c r="G522" i="3"/>
  <c r="F522" i="3"/>
  <c r="G510" i="3"/>
  <c r="F510" i="3"/>
  <c r="G494" i="3"/>
  <c r="F494" i="3"/>
  <c r="G478" i="3"/>
  <c r="F478" i="3"/>
  <c r="G474" i="3"/>
  <c r="F474" i="3"/>
  <c r="G466" i="3"/>
  <c r="F466" i="3"/>
  <c r="G458" i="3"/>
  <c r="F458" i="3"/>
  <c r="G450" i="3"/>
  <c r="F450" i="3"/>
  <c r="G446" i="3"/>
  <c r="F446" i="3"/>
  <c r="G442" i="3"/>
  <c r="F442" i="3"/>
  <c r="G434" i="3"/>
  <c r="F434" i="3"/>
  <c r="G430" i="3"/>
  <c r="F430" i="3"/>
  <c r="G426" i="3"/>
  <c r="F426" i="3"/>
  <c r="G418" i="3"/>
  <c r="F418" i="3"/>
  <c r="G414" i="3"/>
  <c r="F414" i="3"/>
  <c r="G398" i="3"/>
  <c r="F398" i="3"/>
  <c r="G394" i="3"/>
  <c r="F394" i="3"/>
  <c r="G386" i="3"/>
  <c r="F386" i="3"/>
  <c r="G378" i="3"/>
  <c r="F378" i="3"/>
  <c r="G370" i="3"/>
  <c r="F370" i="3"/>
  <c r="G362" i="3"/>
  <c r="F362" i="3"/>
  <c r="G354" i="3"/>
  <c r="F354" i="3"/>
  <c r="G346" i="3"/>
  <c r="F346" i="3"/>
  <c r="G338" i="3"/>
  <c r="F338" i="3"/>
  <c r="G330" i="3"/>
  <c r="F330" i="3"/>
  <c r="G322" i="3"/>
  <c r="F322" i="3"/>
  <c r="G318" i="3"/>
  <c r="F318" i="3"/>
  <c r="G306" i="3"/>
  <c r="F306" i="3"/>
  <c r="G302" i="3"/>
  <c r="F302" i="3"/>
  <c r="G290" i="3"/>
  <c r="F290" i="3"/>
  <c r="G286" i="3"/>
  <c r="F286" i="3"/>
  <c r="G274" i="3"/>
  <c r="F274" i="3"/>
  <c r="G270" i="3"/>
  <c r="F270" i="3"/>
  <c r="G266" i="3"/>
  <c r="F266" i="3"/>
  <c r="G258" i="3"/>
  <c r="F258" i="3"/>
  <c r="G254" i="3"/>
  <c r="F254" i="3"/>
  <c r="G242" i="3"/>
  <c r="F242" i="3"/>
  <c r="G238" i="3"/>
  <c r="F238" i="3"/>
  <c r="G230" i="3"/>
  <c r="F230" i="3"/>
  <c r="G222" i="3"/>
  <c r="F222" i="3"/>
  <c r="G218" i="3"/>
  <c r="F218" i="3"/>
  <c r="G206" i="3"/>
  <c r="F206" i="3"/>
  <c r="G194" i="3"/>
  <c r="F194" i="3"/>
  <c r="G178" i="3"/>
  <c r="F178" i="3"/>
  <c r="G166" i="3"/>
  <c r="F166" i="3"/>
  <c r="G162" i="3"/>
  <c r="F162" i="3"/>
  <c r="G158" i="3"/>
  <c r="F158" i="3"/>
  <c r="G154" i="3"/>
  <c r="F154" i="3"/>
  <c r="G146" i="3"/>
  <c r="F146" i="3"/>
  <c r="G142" i="3"/>
  <c r="F142" i="3"/>
  <c r="G138" i="3"/>
  <c r="F138" i="3"/>
  <c r="G126" i="3"/>
  <c r="F126" i="3"/>
  <c r="G110" i="3"/>
  <c r="F110" i="3"/>
  <c r="G98" i="3"/>
  <c r="F98" i="3"/>
  <c r="G90" i="3"/>
  <c r="F90" i="3"/>
  <c r="G82" i="3"/>
  <c r="F82" i="3"/>
  <c r="G74" i="3"/>
  <c r="F74" i="3"/>
  <c r="G66" i="3"/>
  <c r="F66" i="3"/>
  <c r="G62" i="3"/>
  <c r="F62" i="3"/>
  <c r="G50" i="3"/>
  <c r="F50" i="3"/>
  <c r="G46" i="3"/>
  <c r="F46" i="3"/>
  <c r="G38" i="3"/>
  <c r="F38" i="3"/>
  <c r="G34" i="3"/>
  <c r="F34" i="3"/>
  <c r="G30" i="3"/>
  <c r="F30" i="3"/>
  <c r="G18" i="3"/>
  <c r="F18" i="3"/>
  <c r="G14" i="3"/>
  <c r="F14" i="3"/>
  <c r="F929" i="3"/>
  <c r="F912" i="3"/>
  <c r="F892" i="3"/>
  <c r="F874" i="3"/>
  <c r="F801" i="3"/>
  <c r="F784" i="3"/>
  <c r="F764" i="3"/>
  <c r="F746" i="3"/>
  <c r="F710" i="3"/>
  <c r="F690" i="3"/>
  <c r="F673" i="3"/>
  <c r="F656" i="3"/>
  <c r="F574" i="3"/>
  <c r="F542" i="3"/>
  <c r="F514" i="3"/>
  <c r="F482" i="3"/>
  <c r="F454" i="3"/>
  <c r="F425" i="3"/>
  <c r="F397" i="3"/>
  <c r="F366" i="3"/>
  <c r="F334" i="3"/>
  <c r="F289" i="3"/>
  <c r="F253" i="3"/>
  <c r="F210" i="3"/>
  <c r="F165" i="3"/>
  <c r="F130" i="3"/>
  <c r="F89" i="3"/>
  <c r="F41" i="3"/>
  <c r="F9" i="3"/>
  <c r="G636" i="3"/>
  <c r="F636" i="3"/>
  <c r="G604" i="3"/>
  <c r="F604" i="3"/>
  <c r="G572" i="3"/>
  <c r="F572" i="3"/>
  <c r="G540" i="3"/>
  <c r="F540" i="3"/>
  <c r="G464" i="3"/>
  <c r="F464" i="3"/>
  <c r="G412" i="3"/>
  <c r="F412" i="3"/>
  <c r="G400" i="3"/>
  <c r="F400" i="3"/>
  <c r="G388" i="3"/>
  <c r="F388" i="3"/>
  <c r="G336" i="3"/>
  <c r="F336" i="3"/>
  <c r="G144" i="3"/>
  <c r="F144" i="3"/>
  <c r="G92" i="3"/>
  <c r="F92" i="3"/>
  <c r="F828" i="3"/>
  <c r="F700" i="3"/>
  <c r="F592" i="3"/>
  <c r="F528" i="3"/>
  <c r="G954" i="3"/>
  <c r="F954" i="3"/>
  <c r="G890" i="3"/>
  <c r="F890" i="3"/>
  <c r="G826" i="3"/>
  <c r="F826" i="3"/>
  <c r="F964" i="3"/>
  <c r="F952" i="3"/>
  <c r="F936" i="3"/>
  <c r="F920" i="3"/>
  <c r="F908" i="3"/>
  <c r="F896" i="3"/>
  <c r="F884" i="3"/>
  <c r="F872" i="3"/>
  <c r="F864" i="3"/>
  <c r="F844" i="3"/>
  <c r="F836" i="3"/>
  <c r="F820" i="3"/>
  <c r="F808" i="3"/>
  <c r="F800" i="3"/>
  <c r="F792" i="3"/>
  <c r="F776" i="3"/>
  <c r="F760" i="3"/>
  <c r="F744" i="3"/>
  <c r="F736" i="3"/>
  <c r="F724" i="3"/>
  <c r="F716" i="3"/>
  <c r="F704" i="3"/>
  <c r="F692" i="3"/>
  <c r="F672" i="3"/>
  <c r="F660" i="3"/>
  <c r="F640" i="3"/>
  <c r="F628" i="3"/>
  <c r="F616" i="3"/>
  <c r="F608" i="3"/>
  <c r="F588" i="3"/>
  <c r="F580" i="3"/>
  <c r="F564" i="3"/>
  <c r="F548" i="3"/>
  <c r="F532" i="3"/>
  <c r="F520" i="3"/>
  <c r="F508" i="3"/>
  <c r="F500" i="3"/>
  <c r="F492" i="3"/>
  <c r="F480" i="3"/>
  <c r="F472" i="3"/>
  <c r="F460" i="3"/>
  <c r="F448" i="3"/>
  <c r="F440" i="3"/>
  <c r="F428" i="3"/>
  <c r="F420" i="3"/>
  <c r="F404" i="3"/>
  <c r="F392" i="3"/>
  <c r="F376" i="3"/>
  <c r="F368" i="3"/>
  <c r="F360" i="3"/>
  <c r="F342" i="3"/>
  <c r="F326" i="3"/>
  <c r="F344" i="3"/>
  <c r="F332" i="3"/>
  <c r="F316" i="3"/>
  <c r="F304" i="3"/>
  <c r="F292" i="3"/>
  <c r="F280" i="3"/>
  <c r="F268" i="3"/>
  <c r="F240" i="3"/>
  <c r="F20" i="3"/>
  <c r="F8" i="3"/>
  <c r="G973" i="3"/>
  <c r="F973" i="3"/>
  <c r="G965" i="3"/>
  <c r="F965" i="3"/>
  <c r="G961" i="3"/>
  <c r="F961" i="3"/>
  <c r="G957" i="3"/>
  <c r="F957" i="3"/>
  <c r="G949" i="3"/>
  <c r="F949" i="3"/>
  <c r="G945" i="3"/>
  <c r="F945" i="3"/>
  <c r="G937" i="3"/>
  <c r="F937" i="3"/>
  <c r="G917" i="3"/>
  <c r="F917" i="3"/>
  <c r="G913" i="3"/>
  <c r="F913" i="3"/>
  <c r="G905" i="3"/>
  <c r="F905" i="3"/>
  <c r="G885" i="3"/>
  <c r="F885" i="3"/>
  <c r="G881" i="3"/>
  <c r="F881" i="3"/>
  <c r="G873" i="3"/>
  <c r="F873" i="3"/>
  <c r="G853" i="3"/>
  <c r="F853" i="3"/>
  <c r="G849" i="3"/>
  <c r="F849" i="3"/>
  <c r="G841" i="3"/>
  <c r="F841" i="3"/>
  <c r="G821" i="3"/>
  <c r="F821" i="3"/>
  <c r="G817" i="3"/>
  <c r="F817" i="3"/>
  <c r="G809" i="3"/>
  <c r="F809" i="3"/>
  <c r="G789" i="3"/>
  <c r="F789" i="3"/>
  <c r="G785" i="3"/>
  <c r="F785" i="3"/>
  <c r="G777" i="3"/>
  <c r="F777" i="3"/>
  <c r="G757" i="3"/>
  <c r="F757" i="3"/>
  <c r="G753" i="3"/>
  <c r="F753" i="3"/>
  <c r="G745" i="3"/>
  <c r="F745" i="3"/>
  <c r="G725" i="3"/>
  <c r="F725" i="3"/>
  <c r="G721" i="3"/>
  <c r="F721" i="3"/>
  <c r="G713" i="3"/>
  <c r="F713" i="3"/>
  <c r="G693" i="3"/>
  <c r="F693" i="3"/>
  <c r="G689" i="3"/>
  <c r="F689" i="3"/>
  <c r="G681" i="3"/>
  <c r="F681" i="3"/>
  <c r="G661" i="3"/>
  <c r="F661" i="3"/>
  <c r="G657" i="3"/>
  <c r="F657" i="3"/>
  <c r="G649" i="3"/>
  <c r="F649" i="3"/>
  <c r="G645" i="3"/>
  <c r="F645" i="3"/>
  <c r="G641" i="3"/>
  <c r="F641" i="3"/>
  <c r="G633" i="3"/>
  <c r="F633" i="3"/>
  <c r="G629" i="3"/>
  <c r="F629" i="3"/>
  <c r="G625" i="3"/>
  <c r="F625" i="3"/>
  <c r="G617" i="3"/>
  <c r="F617" i="3"/>
  <c r="G613" i="3"/>
  <c r="F613" i="3"/>
  <c r="G609" i="3"/>
  <c r="F609" i="3"/>
  <c r="G601" i="3"/>
  <c r="F601" i="3"/>
  <c r="G597" i="3"/>
  <c r="F597" i="3"/>
  <c r="G593" i="3"/>
  <c r="F593" i="3"/>
  <c r="G585" i="3"/>
  <c r="F585" i="3"/>
  <c r="G581" i="3"/>
  <c r="F581" i="3"/>
  <c r="G577" i="3"/>
  <c r="F577" i="3"/>
  <c r="G569" i="3"/>
  <c r="F569" i="3"/>
  <c r="G565" i="3"/>
  <c r="F565" i="3"/>
  <c r="G561" i="3"/>
  <c r="F561" i="3"/>
  <c r="G553" i="3"/>
  <c r="F553" i="3"/>
  <c r="G549" i="3"/>
  <c r="F549" i="3"/>
  <c r="G545" i="3"/>
  <c r="F545" i="3"/>
  <c r="G537" i="3"/>
  <c r="F537" i="3"/>
  <c r="G533" i="3"/>
  <c r="F533" i="3"/>
  <c r="G529" i="3"/>
  <c r="F529" i="3"/>
  <c r="G525" i="3"/>
  <c r="F525" i="3"/>
  <c r="G517" i="3"/>
  <c r="F517" i="3"/>
  <c r="G513" i="3"/>
  <c r="F513" i="3"/>
  <c r="G509" i="3"/>
  <c r="F509" i="3"/>
  <c r="G505" i="3"/>
  <c r="F505" i="3"/>
  <c r="G501" i="3"/>
  <c r="F501" i="3"/>
  <c r="G497" i="3"/>
  <c r="F497" i="3"/>
  <c r="G493" i="3"/>
  <c r="F493" i="3"/>
  <c r="G489" i="3"/>
  <c r="F489" i="3"/>
  <c r="G485" i="3"/>
  <c r="F485" i="3"/>
  <c r="G481" i="3"/>
  <c r="F481" i="3"/>
  <c r="G477" i="3"/>
  <c r="F477" i="3"/>
  <c r="G473" i="3"/>
  <c r="F473" i="3"/>
  <c r="G465" i="3"/>
  <c r="F465" i="3"/>
  <c r="G461" i="3"/>
  <c r="F461" i="3"/>
  <c r="G457" i="3"/>
  <c r="F457" i="3"/>
  <c r="G453" i="3"/>
  <c r="F453" i="3"/>
  <c r="G445" i="3"/>
  <c r="F445" i="3"/>
  <c r="G437" i="3"/>
  <c r="F437" i="3"/>
  <c r="G429" i="3"/>
  <c r="F429" i="3"/>
  <c r="G421" i="3"/>
  <c r="F421" i="3"/>
  <c r="G413" i="3"/>
  <c r="F413" i="3"/>
  <c r="G409" i="3"/>
  <c r="F409" i="3"/>
  <c r="G405" i="3"/>
  <c r="F405" i="3"/>
  <c r="G401" i="3"/>
  <c r="F401" i="3"/>
  <c r="G393" i="3"/>
  <c r="F393" i="3"/>
  <c r="G385" i="3"/>
  <c r="F385" i="3"/>
  <c r="G381" i="3"/>
  <c r="F381" i="3"/>
  <c r="G377" i="3"/>
  <c r="F377" i="3"/>
  <c r="G373" i="3"/>
  <c r="F373" i="3"/>
  <c r="G369" i="3"/>
  <c r="F369" i="3"/>
  <c r="G365" i="3"/>
  <c r="F365" i="3"/>
  <c r="G361" i="3"/>
  <c r="F361" i="3"/>
  <c r="G357" i="3"/>
  <c r="F357" i="3"/>
  <c r="G353" i="3"/>
  <c r="F353" i="3"/>
  <c r="G349" i="3"/>
  <c r="F349" i="3"/>
  <c r="G341" i="3"/>
  <c r="F341" i="3"/>
  <c r="G333" i="3"/>
  <c r="F333" i="3"/>
  <c r="G329" i="3"/>
  <c r="F329" i="3"/>
  <c r="G317" i="3"/>
  <c r="F317" i="3"/>
  <c r="G301" i="3"/>
  <c r="F301" i="3"/>
  <c r="G293" i="3"/>
  <c r="F293" i="3"/>
  <c r="G285" i="3"/>
  <c r="F285" i="3"/>
  <c r="G281" i="3"/>
  <c r="F281" i="3"/>
  <c r="G277" i="3"/>
  <c r="F277" i="3"/>
  <c r="G269" i="3"/>
  <c r="F269" i="3"/>
  <c r="G249" i="3"/>
  <c r="F249" i="3"/>
  <c r="G233" i="3"/>
  <c r="F233" i="3"/>
  <c r="G229" i="3"/>
  <c r="F229" i="3"/>
  <c r="G225" i="3"/>
  <c r="F225" i="3"/>
  <c r="G221" i="3"/>
  <c r="F221" i="3"/>
  <c r="G217" i="3"/>
  <c r="F217" i="3"/>
  <c r="G213" i="3"/>
  <c r="F213" i="3"/>
  <c r="G205" i="3"/>
  <c r="F205" i="3"/>
  <c r="G201" i="3"/>
  <c r="F201" i="3"/>
  <c r="G189" i="3"/>
  <c r="F189" i="3"/>
  <c r="G185" i="3"/>
  <c r="F185" i="3"/>
  <c r="G173" i="3"/>
  <c r="F173" i="3"/>
  <c r="G169" i="3"/>
  <c r="F169" i="3"/>
  <c r="G161" i="3"/>
  <c r="F161" i="3"/>
  <c r="G153" i="3"/>
  <c r="F153" i="3"/>
  <c r="G137" i="3"/>
  <c r="F137" i="3"/>
  <c r="G125" i="3"/>
  <c r="F125" i="3"/>
  <c r="G121" i="3"/>
  <c r="F121" i="3"/>
  <c r="G109" i="3"/>
  <c r="F109" i="3"/>
  <c r="G105" i="3"/>
  <c r="F105" i="3"/>
  <c r="G101" i="3"/>
  <c r="F101" i="3"/>
  <c r="G97" i="3"/>
  <c r="F97" i="3"/>
  <c r="G93" i="3"/>
  <c r="F93" i="3"/>
  <c r="G85" i="3"/>
  <c r="F85" i="3"/>
  <c r="F77" i="3"/>
  <c r="G77" i="3" s="1"/>
  <c r="G73" i="3"/>
  <c r="F73" i="3"/>
  <c r="G61" i="3"/>
  <c r="F61" i="3"/>
  <c r="G45" i="3"/>
  <c r="F45" i="3"/>
  <c r="G37" i="3"/>
  <c r="F37" i="3"/>
  <c r="G29" i="3"/>
  <c r="F29" i="3"/>
  <c r="G25" i="3"/>
  <c r="F25" i="3"/>
  <c r="G21" i="3"/>
  <c r="F21" i="3"/>
  <c r="G13" i="3"/>
  <c r="F13" i="3"/>
  <c r="F944" i="3"/>
  <c r="F924" i="3"/>
  <c r="F906" i="3"/>
  <c r="F833" i="3"/>
  <c r="F816" i="3"/>
  <c r="F796" i="3"/>
  <c r="F778" i="3"/>
  <c r="F742" i="3"/>
  <c r="F722" i="3"/>
  <c r="F705" i="3"/>
  <c r="F688" i="3"/>
  <c r="F668" i="3"/>
  <c r="F650" i="3"/>
  <c r="F506" i="3"/>
  <c r="F476" i="3"/>
  <c r="F449" i="3"/>
  <c r="F417" i="3"/>
  <c r="F389" i="3"/>
  <c r="F324" i="3"/>
  <c r="F282" i="3"/>
  <c r="F237" i="3"/>
  <c r="F202" i="3"/>
  <c r="F157" i="3"/>
  <c r="F114" i="3"/>
  <c r="F78" i="3"/>
  <c r="F33" i="3"/>
  <c r="F10" i="3"/>
  <c r="F975" i="3"/>
  <c r="F971" i="3"/>
  <c r="F967" i="3"/>
  <c r="F963" i="3"/>
  <c r="F959" i="3"/>
  <c r="F955" i="3"/>
  <c r="F951" i="3"/>
  <c r="F947" i="3"/>
  <c r="F943" i="3"/>
  <c r="F939" i="3"/>
  <c r="F935" i="3"/>
  <c r="F931" i="3"/>
  <c r="F927" i="3"/>
  <c r="F923" i="3"/>
  <c r="F919" i="3"/>
  <c r="F915" i="3"/>
  <c r="F911" i="3"/>
  <c r="F907" i="3"/>
  <c r="F903" i="3"/>
  <c r="F899" i="3"/>
  <c r="F895" i="3"/>
  <c r="F891" i="3"/>
  <c r="F887" i="3"/>
  <c r="F883" i="3"/>
  <c r="F879" i="3"/>
  <c r="F875" i="3"/>
  <c r="F871" i="3"/>
  <c r="F867" i="3"/>
  <c r="F863" i="3"/>
  <c r="F859" i="3"/>
  <c r="F855" i="3"/>
  <c r="F851" i="3"/>
  <c r="F847" i="3"/>
  <c r="F843" i="3"/>
  <c r="F839" i="3"/>
  <c r="F835" i="3"/>
  <c r="F831" i="3"/>
  <c r="F827" i="3"/>
  <c r="F823" i="3"/>
  <c r="F819" i="3"/>
  <c r="F815" i="3"/>
  <c r="F811" i="3"/>
  <c r="F807" i="3"/>
  <c r="F803" i="3"/>
  <c r="F799" i="3"/>
  <c r="F795" i="3"/>
  <c r="F791" i="3"/>
  <c r="F787" i="3"/>
  <c r="F783" i="3"/>
  <c r="F779" i="3"/>
  <c r="F775" i="3"/>
  <c r="F771" i="3"/>
  <c r="F767" i="3"/>
  <c r="F763" i="3"/>
  <c r="F759" i="3"/>
  <c r="F755" i="3"/>
  <c r="F751" i="3"/>
  <c r="F747" i="3"/>
  <c r="F743" i="3"/>
  <c r="F739" i="3"/>
  <c r="F735" i="3"/>
  <c r="F731" i="3"/>
  <c r="F727" i="3"/>
  <c r="F723" i="3"/>
  <c r="F719" i="3"/>
  <c r="F715" i="3"/>
  <c r="F711" i="3"/>
  <c r="F707" i="3"/>
  <c r="F703" i="3"/>
  <c r="F699" i="3"/>
  <c r="F695" i="3"/>
  <c r="F691" i="3"/>
  <c r="F687" i="3"/>
  <c r="F683" i="3"/>
  <c r="F679" i="3"/>
  <c r="F675" i="3"/>
  <c r="F671" i="3"/>
  <c r="F667" i="3"/>
  <c r="F663" i="3"/>
  <c r="F659" i="3"/>
  <c r="F655" i="3"/>
  <c r="F651" i="3"/>
  <c r="F647" i="3"/>
  <c r="F643" i="3"/>
  <c r="F639" i="3"/>
  <c r="F635" i="3"/>
  <c r="F631" i="3"/>
  <c r="F627" i="3"/>
  <c r="F623" i="3"/>
  <c r="F619" i="3"/>
  <c r="F615" i="3"/>
  <c r="F611" i="3"/>
  <c r="F607" i="3"/>
  <c r="F603" i="3"/>
  <c r="F599" i="3"/>
  <c r="F595" i="3"/>
  <c r="F591" i="3"/>
  <c r="F587" i="3"/>
  <c r="F583" i="3"/>
  <c r="F579" i="3"/>
  <c r="F575" i="3"/>
  <c r="F571" i="3"/>
  <c r="F567" i="3"/>
  <c r="F563" i="3"/>
  <c r="F559" i="3"/>
  <c r="F555" i="3"/>
  <c r="F551" i="3"/>
  <c r="F547" i="3"/>
  <c r="F543" i="3"/>
  <c r="F539" i="3"/>
  <c r="F535" i="3"/>
  <c r="F531" i="3"/>
  <c r="F527" i="3"/>
  <c r="F523" i="3"/>
  <c r="F519" i="3"/>
  <c r="F515" i="3"/>
  <c r="F511" i="3"/>
  <c r="F507" i="3"/>
  <c r="F503" i="3"/>
  <c r="F499" i="3"/>
  <c r="F495" i="3"/>
  <c r="F491" i="3"/>
  <c r="F487" i="3"/>
  <c r="F483" i="3"/>
  <c r="F479" i="3"/>
  <c r="F475" i="3"/>
  <c r="F471" i="3"/>
  <c r="F467" i="3"/>
  <c r="F463" i="3"/>
  <c r="F459" i="3"/>
  <c r="F455" i="3"/>
  <c r="F451" i="3"/>
  <c r="F447" i="3"/>
  <c r="F443" i="3"/>
  <c r="F439" i="3"/>
  <c r="F435" i="3"/>
  <c r="F431" i="3"/>
  <c r="F427" i="3"/>
  <c r="F423" i="3"/>
  <c r="F419" i="3"/>
  <c r="F415" i="3"/>
  <c r="F411" i="3"/>
  <c r="F407" i="3"/>
  <c r="F403" i="3"/>
  <c r="F399" i="3"/>
  <c r="F395" i="3"/>
  <c r="F391" i="3"/>
  <c r="F387" i="3"/>
  <c r="F383" i="3"/>
  <c r="F379" i="3"/>
  <c r="F375" i="3"/>
  <c r="F371" i="3"/>
  <c r="F367" i="3"/>
  <c r="F363" i="3"/>
  <c r="F359" i="3"/>
  <c r="F355" i="3"/>
  <c r="F351" i="3"/>
  <c r="F325" i="3"/>
  <c r="F314" i="3"/>
  <c r="F309" i="3"/>
  <c r="F298" i="3"/>
  <c r="F261" i="3"/>
  <c r="F250" i="3"/>
  <c r="F245" i="3"/>
  <c r="F234" i="3"/>
  <c r="F197" i="3"/>
  <c r="F186" i="3"/>
  <c r="F181" i="3"/>
  <c r="F170" i="3"/>
  <c r="F133" i="3"/>
  <c r="F122" i="3"/>
  <c r="F117" i="3"/>
  <c r="F106" i="3"/>
  <c r="F69" i="3"/>
  <c r="F58" i="3"/>
  <c r="F53" i="3"/>
  <c r="F42" i="3"/>
  <c r="F969" i="3"/>
  <c r="F953" i="3"/>
  <c r="F941" i="3"/>
  <c r="F933" i="3"/>
  <c r="F925" i="3"/>
  <c r="F921" i="3"/>
  <c r="F909" i="3"/>
  <c r="F901" i="3"/>
  <c r="F893" i="3"/>
  <c r="F889" i="3"/>
  <c r="F877" i="3"/>
  <c r="F869" i="3"/>
  <c r="F861" i="3"/>
  <c r="F857" i="3"/>
  <c r="F845" i="3"/>
  <c r="F837" i="3"/>
  <c r="F829" i="3"/>
  <c r="F825" i="3"/>
  <c r="F813" i="3"/>
  <c r="F805" i="3"/>
  <c r="F797" i="3"/>
  <c r="F793" i="3"/>
  <c r="F781" i="3"/>
  <c r="F773" i="3"/>
  <c r="F765" i="3"/>
  <c r="F761" i="3"/>
  <c r="F749" i="3"/>
  <c r="F741" i="3"/>
  <c r="F733" i="3"/>
  <c r="F729" i="3"/>
  <c r="F717" i="3"/>
  <c r="F709" i="3"/>
  <c r="F701" i="3"/>
  <c r="F697" i="3"/>
  <c r="F685" i="3"/>
  <c r="F677" i="3"/>
  <c r="F669" i="3"/>
  <c r="F665" i="3"/>
  <c r="F653" i="3"/>
  <c r="F637" i="3"/>
  <c r="F621" i="3"/>
  <c r="F605" i="3"/>
  <c r="F589" i="3"/>
  <c r="F573" i="3"/>
  <c r="F557" i="3"/>
  <c r="F541" i="3"/>
  <c r="F347" i="3"/>
  <c r="F343" i="3"/>
  <c r="F339" i="3"/>
  <c r="F335" i="3"/>
  <c r="F331" i="3"/>
  <c r="F327" i="3"/>
  <c r="F323" i="3"/>
  <c r="F319" i="3"/>
  <c r="F315" i="3"/>
  <c r="F311" i="3"/>
  <c r="F307" i="3"/>
  <c r="F303" i="3"/>
  <c r="F299" i="3"/>
  <c r="F295" i="3"/>
  <c r="F291" i="3"/>
  <c r="F287" i="3"/>
  <c r="F283" i="3"/>
  <c r="F279" i="3"/>
  <c r="F275" i="3"/>
  <c r="F271" i="3"/>
  <c r="F267" i="3"/>
  <c r="F263" i="3"/>
  <c r="F259" i="3"/>
  <c r="F255" i="3"/>
  <c r="F251" i="3"/>
  <c r="F247" i="3"/>
  <c r="F243" i="3"/>
  <c r="F239" i="3"/>
  <c r="F235" i="3"/>
  <c r="F231" i="3"/>
  <c r="F227" i="3"/>
  <c r="F223" i="3"/>
  <c r="F219" i="3"/>
  <c r="F215" i="3"/>
  <c r="F211" i="3"/>
  <c r="F207" i="3"/>
  <c r="F203" i="3"/>
  <c r="F199" i="3"/>
  <c r="F195" i="3"/>
  <c r="F191" i="3"/>
  <c r="F187" i="3"/>
  <c r="F183" i="3"/>
  <c r="F179" i="3"/>
  <c r="F175" i="3"/>
  <c r="F171" i="3"/>
  <c r="F167" i="3"/>
  <c r="F163" i="3"/>
  <c r="F159" i="3"/>
  <c r="F155" i="3"/>
  <c r="F151" i="3"/>
  <c r="F147" i="3"/>
  <c r="F143" i="3"/>
  <c r="F139" i="3"/>
  <c r="F135" i="3"/>
  <c r="F131" i="3"/>
  <c r="F127" i="3"/>
  <c r="F123" i="3"/>
  <c r="F119" i="3"/>
  <c r="F115" i="3"/>
  <c r="F111" i="3"/>
  <c r="F107" i="3"/>
  <c r="F103" i="3"/>
  <c r="F99" i="3"/>
  <c r="F95" i="3"/>
  <c r="F91" i="3"/>
  <c r="F87" i="3"/>
  <c r="F83" i="3"/>
  <c r="F79" i="3"/>
  <c r="F75" i="3"/>
  <c r="F71" i="3"/>
  <c r="F67" i="3"/>
  <c r="F63" i="3"/>
  <c r="F59" i="3"/>
  <c r="F55" i="3"/>
  <c r="F51" i="3"/>
  <c r="F47" i="3"/>
  <c r="F43" i="3"/>
  <c r="F39" i="3"/>
  <c r="F35" i="3"/>
  <c r="F31" i="3"/>
  <c r="F27" i="3"/>
  <c r="F23" i="3"/>
  <c r="F19" i="3"/>
  <c r="F15" i="3"/>
  <c r="F11" i="3"/>
  <c r="F5" i="3" l="1"/>
  <c r="G5" i="3" s="1"/>
  <c r="G6" i="3" s="1"/>
  <c r="F7" i="3"/>
  <c r="G7" i="3" l="1"/>
  <c r="G8"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F438DFD-EECE-464F-9A6E-6F76BCD76B1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8B6A178-6023-45DE-A084-D2E61A021DF5}" name="WorksheetConnection_ISM 120 Financial Planner Final Verson - Larry Roberts.xlsm!Expense_Tracker_Table" type="102" refreshedVersion="6" minRefreshableVersion="5">
    <extLst>
      <ext xmlns:x15="http://schemas.microsoft.com/office/spreadsheetml/2010/11/main" uri="{DE250136-89BD-433C-8126-D09CA5730AF9}">
        <x15:connection id="Expense_Tracker_Table" autoDelete="1">
          <x15:rangePr sourceName="_xlcn.WorksheetConnection_ISM120FinancialPlannerFinalVersonLarryRoberts.xlsmExpense_Tracker_Table1"/>
        </x15:connection>
      </ext>
    </extLst>
  </connection>
  <connection id="3" xr16:uid="{E623343C-BDDA-4AD1-9374-40874FAD3350}" name="WorksheetConnection_ISM 120 Financial Planner Final Verson - Larry Roberts.xlsm!Income_Tracker_Table" type="102" refreshedVersion="6" minRefreshableVersion="5">
    <extLst>
      <ext xmlns:x15="http://schemas.microsoft.com/office/spreadsheetml/2010/11/main" uri="{DE250136-89BD-433C-8126-D09CA5730AF9}">
        <x15:connection id="Income_Tracker_Table" autoDelete="1">
          <x15:rangePr sourceName="_xlcn.WorksheetConnection_ISM120FinancialPlannerFinalVersonLarryRoberts.xlsmIncome_Tracker_Table1"/>
        </x15:connection>
      </ext>
    </extLst>
  </connection>
</connections>
</file>

<file path=xl/sharedStrings.xml><?xml version="1.0" encoding="utf-8"?>
<sst xmlns="http://schemas.openxmlformats.org/spreadsheetml/2006/main" count="190" uniqueCount="71">
  <si>
    <t>Income Tracker</t>
  </si>
  <si>
    <t>Person</t>
  </si>
  <si>
    <t>Source of Income</t>
  </si>
  <si>
    <t>Amount Earned</t>
  </si>
  <si>
    <t>Date Received</t>
  </si>
  <si>
    <t>Start of Month</t>
  </si>
  <si>
    <t>End of Month</t>
  </si>
  <si>
    <t>Revenue</t>
  </si>
  <si>
    <t>Matt</t>
  </si>
  <si>
    <t>Cash</t>
  </si>
  <si>
    <t>Emma</t>
  </si>
  <si>
    <t>Paycheck</t>
  </si>
  <si>
    <t>Interest</t>
  </si>
  <si>
    <t>Scholarship</t>
  </si>
  <si>
    <t>Sum of Amount Earned</t>
  </si>
  <si>
    <t>Column Labels</t>
  </si>
  <si>
    <t>Row Labels</t>
  </si>
  <si>
    <t>Grand Total</t>
  </si>
  <si>
    <t>2019</t>
  </si>
  <si>
    <t>Jan</t>
  </si>
  <si>
    <t>Feb</t>
  </si>
  <si>
    <t>Mar</t>
  </si>
  <si>
    <t>Apr</t>
  </si>
  <si>
    <t>Expense Tracker</t>
  </si>
  <si>
    <t>Source</t>
  </si>
  <si>
    <t>Amount Spent</t>
  </si>
  <si>
    <t>Reason for Expenditure</t>
  </si>
  <si>
    <t>Expenses</t>
  </si>
  <si>
    <t>Debit Card</t>
  </si>
  <si>
    <t>Other</t>
  </si>
  <si>
    <t>Withdraw Cash</t>
  </si>
  <si>
    <t>Gas</t>
  </si>
  <si>
    <t>Tuition</t>
  </si>
  <si>
    <t>Student Loans</t>
  </si>
  <si>
    <t>Utilites</t>
  </si>
  <si>
    <t>Mortgage/Rent</t>
  </si>
  <si>
    <t>Gifts</t>
  </si>
  <si>
    <t>Groceries/Food</t>
  </si>
  <si>
    <t>Entertainment</t>
  </si>
  <si>
    <t>Medical</t>
  </si>
  <si>
    <t>Sum of Amount Spent</t>
  </si>
  <si>
    <t>% of Total Spending</t>
  </si>
  <si>
    <t>Approximate Student Loans Balance Remaining</t>
  </si>
  <si>
    <t>Inital Student Loan Balance</t>
  </si>
  <si>
    <t>Amount Paid Off</t>
  </si>
  <si>
    <t>Balance Remaining</t>
  </si>
  <si>
    <t>Bottom Line</t>
  </si>
  <si>
    <t>Initial Bank Account Balance</t>
  </si>
  <si>
    <t>Difference</t>
  </si>
  <si>
    <t>Bank Account Balance at end of Month</t>
  </si>
  <si>
    <t>Car Payment</t>
  </si>
  <si>
    <t>Credit Card</t>
  </si>
  <si>
    <t>Salary</t>
  </si>
  <si>
    <t>Tips</t>
  </si>
  <si>
    <t>Charge Card</t>
  </si>
  <si>
    <t>Disability</t>
  </si>
  <si>
    <t>Check</t>
  </si>
  <si>
    <t>Pension</t>
  </si>
  <si>
    <t>Loans</t>
  </si>
  <si>
    <t>Unemployment</t>
  </si>
  <si>
    <t>Insurance</t>
  </si>
  <si>
    <t>Dividends</t>
  </si>
  <si>
    <t>Daycare</t>
  </si>
  <si>
    <t>Capital Gains</t>
  </si>
  <si>
    <t>Clothing</t>
  </si>
  <si>
    <t>Rent</t>
  </si>
  <si>
    <t>Royalties</t>
  </si>
  <si>
    <t>Travel</t>
  </si>
  <si>
    <t>Annuity</t>
  </si>
  <si>
    <t>2030</t>
  </si>
  <si>
    <t>Expense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</si>
</sst>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43" formatCode="_(* #,##0.00_);_(* \(#,##0.00\);_(* &quot;-&quot;??_);_(@_)"/>
    <numFmt numFmtId="164" formatCode="m/d/yyyy;@"/>
    <numFmt numFmtId="165" formatCode="[$-409]mmmm\-yy;@"/>
  </numFmts>
  <fonts count="5" x14ac:knownFonts="1">
    <font>
      <sz val="11"/>
      <color theme="1"/>
      <name val="Calibri"/>
      <family val="2"/>
      <scheme val="minor"/>
    </font>
    <font>
      <sz val="8"/>
      <name val="Calibri"/>
      <family val="2"/>
      <scheme val="minor"/>
    </font>
    <font>
      <sz val="18"/>
      <color theme="0"/>
      <name val="Calibri"/>
      <family val="2"/>
      <scheme val="minor"/>
    </font>
    <font>
      <sz val="18"/>
      <color theme="1"/>
      <name val="Calibri"/>
      <family val="2"/>
      <scheme val="minor"/>
    </font>
    <font>
      <sz val="14"/>
      <color theme="0"/>
      <name val="Calibri"/>
      <family val="2"/>
      <scheme val="minor"/>
    </font>
  </fonts>
  <fills count="7">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00B050"/>
        <bgColor indexed="64"/>
      </patternFill>
    </fill>
  </fills>
  <borders count="17">
    <border>
      <left/>
      <right/>
      <top/>
      <bottom/>
      <diagonal/>
    </border>
    <border>
      <left style="thin">
        <color theme="1"/>
      </left>
      <right style="thin">
        <color theme="1"/>
      </right>
      <top style="thin">
        <color theme="1"/>
      </top>
      <bottom style="thin">
        <color theme="1"/>
      </bottom>
      <diagonal/>
    </border>
    <border>
      <left style="thin">
        <color rgb="FFFFC000"/>
      </left>
      <right style="thin">
        <color rgb="FFFFC000"/>
      </right>
      <top style="thin">
        <color rgb="FFFFC000"/>
      </top>
      <bottom/>
      <diagonal/>
    </border>
    <border>
      <left style="thin">
        <color rgb="FFFFC000"/>
      </left>
      <right style="thin">
        <color rgb="FFFFC000"/>
      </right>
      <top style="thin">
        <color rgb="FFFFC000"/>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theme="1"/>
      </top>
      <bottom style="thin">
        <color rgb="FFFFC000"/>
      </bottom>
      <diagonal/>
    </border>
    <border>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auto="1"/>
      </left>
      <right/>
      <top/>
      <bottom/>
      <diagonal/>
    </border>
    <border>
      <left style="thin">
        <color rgb="FF7030A0"/>
      </left>
      <right style="thin">
        <color rgb="FF7030A0"/>
      </right>
      <top style="thin">
        <color rgb="FF7030A0"/>
      </top>
      <bottom style="thin">
        <color rgb="FF7030A0"/>
      </bottom>
      <diagonal/>
    </border>
    <border>
      <left style="thick">
        <color rgb="FFFFFF00"/>
      </left>
      <right style="thick">
        <color rgb="FFFFFF00"/>
      </right>
      <top style="thick">
        <color rgb="FFFFFF00"/>
      </top>
      <bottom style="thick">
        <color rgb="FFFFFF00"/>
      </bottom>
      <diagonal/>
    </border>
    <border>
      <left/>
      <right style="thin">
        <color rgb="FF7030A0"/>
      </right>
      <top style="thin">
        <color rgb="FF7030A0"/>
      </top>
      <bottom style="thin">
        <color rgb="FF7030A0"/>
      </bottom>
      <diagonal/>
    </border>
    <border>
      <left style="thin">
        <color rgb="FF7030A0"/>
      </left>
      <right/>
      <top style="thin">
        <color rgb="FF7030A0"/>
      </top>
      <bottom style="thin">
        <color rgb="FF7030A0"/>
      </bottom>
      <diagonal/>
    </border>
  </borders>
  <cellStyleXfs count="1">
    <xf numFmtId="0" fontId="0" fillId="0" borderId="0"/>
  </cellStyleXfs>
  <cellXfs count="49">
    <xf numFmtId="0" fontId="0" fillId="0" borderId="0" xfId="0"/>
    <xf numFmtId="14" fontId="0" fillId="0" borderId="0" xfId="0" applyNumberFormat="1"/>
    <xf numFmtId="44" fontId="0" fillId="0" borderId="0" xfId="0" applyNumberFormat="1"/>
    <xf numFmtId="0" fontId="0" fillId="0" borderId="0" xfId="0" applyNumberFormat="1"/>
    <xf numFmtId="0" fontId="0" fillId="0" borderId="0" xfId="0" pivotButton="1"/>
    <xf numFmtId="0" fontId="0" fillId="0" borderId="0" xfId="0" applyAlignment="1">
      <alignment horizontal="left"/>
    </xf>
    <xf numFmtId="165" fontId="0" fillId="0" borderId="0" xfId="0" applyNumberFormat="1"/>
    <xf numFmtId="10" fontId="0" fillId="0" borderId="0" xfId="0" applyNumberFormat="1"/>
    <xf numFmtId="43" fontId="0" fillId="0" borderId="0" xfId="0" applyNumberFormat="1"/>
    <xf numFmtId="165" fontId="0" fillId="0" borderId="7" xfId="0" applyNumberFormat="1" applyBorder="1"/>
    <xf numFmtId="0" fontId="0" fillId="0" borderId="8" xfId="0" applyBorder="1"/>
    <xf numFmtId="0" fontId="0" fillId="0" borderId="9" xfId="0" applyBorder="1"/>
    <xf numFmtId="14" fontId="0" fillId="0" borderId="6" xfId="0" applyNumberFormat="1" applyBorder="1"/>
    <xf numFmtId="14" fontId="0" fillId="0" borderId="1" xfId="0" applyNumberFormat="1" applyBorder="1"/>
    <xf numFmtId="43" fontId="0" fillId="0" borderId="1" xfId="0" applyNumberFormat="1" applyBorder="1"/>
    <xf numFmtId="44" fontId="0" fillId="0" borderId="1" xfId="0" applyNumberFormat="1" applyBorder="1"/>
    <xf numFmtId="14" fontId="0" fillId="0" borderId="10" xfId="0" applyNumberFormat="1" applyBorder="1"/>
    <xf numFmtId="14" fontId="0" fillId="0" borderId="11" xfId="0" applyNumberFormat="1" applyBorder="1"/>
    <xf numFmtId="0" fontId="0" fillId="0" borderId="0" xfId="0" applyProtection="1">
      <protection locked="0"/>
    </xf>
    <xf numFmtId="44" fontId="0" fillId="0" borderId="0" xfId="0" applyNumberFormat="1" applyProtection="1">
      <protection locked="0"/>
    </xf>
    <xf numFmtId="164" fontId="0" fillId="0" borderId="0" xfId="0" applyNumberFormat="1" applyProtection="1">
      <protection locked="0"/>
    </xf>
    <xf numFmtId="165" fontId="0" fillId="4" borderId="1" xfId="0" applyNumberFormat="1" applyFill="1" applyBorder="1" applyProtection="1"/>
    <xf numFmtId="0" fontId="0" fillId="4" borderId="1" xfId="0" applyFill="1" applyBorder="1" applyProtection="1"/>
    <xf numFmtId="14" fontId="0" fillId="3" borderId="4" xfId="0" applyNumberFormat="1" applyFill="1" applyBorder="1" applyProtection="1"/>
    <xf numFmtId="44" fontId="0" fillId="3" borderId="4" xfId="0" applyNumberFormat="1" applyFill="1" applyBorder="1" applyProtection="1"/>
    <xf numFmtId="14" fontId="0" fillId="3" borderId="3" xfId="0" applyNumberFormat="1" applyFill="1" applyBorder="1" applyProtection="1"/>
    <xf numFmtId="44" fontId="0" fillId="3" borderId="3" xfId="0" applyNumberFormat="1" applyFill="1" applyBorder="1" applyProtection="1"/>
    <xf numFmtId="14" fontId="0" fillId="3" borderId="2" xfId="0" applyNumberFormat="1" applyFill="1" applyBorder="1" applyProtection="1"/>
    <xf numFmtId="0" fontId="0" fillId="0" borderId="0" xfId="0" applyProtection="1"/>
    <xf numFmtId="44" fontId="0" fillId="0" borderId="0" xfId="0" applyNumberFormat="1" applyProtection="1"/>
    <xf numFmtId="164" fontId="0" fillId="0" borderId="0" xfId="0" applyNumberFormat="1" applyProtection="1"/>
    <xf numFmtId="0" fontId="0" fillId="6" borderId="13" xfId="0" applyFill="1" applyBorder="1"/>
    <xf numFmtId="0" fontId="0" fillId="6" borderId="14" xfId="0" applyFill="1" applyBorder="1"/>
    <xf numFmtId="14" fontId="0" fillId="0" borderId="0" xfId="0" applyNumberFormat="1" applyProtection="1">
      <protection locked="0"/>
    </xf>
    <xf numFmtId="0" fontId="0" fillId="0" borderId="0" xfId="0" applyAlignment="1" applyProtection="1">
      <alignment horizontal="center"/>
      <protection locked="0"/>
    </xf>
    <xf numFmtId="165" fontId="0" fillId="4" borderId="1" xfId="0" applyNumberFormat="1" applyFill="1" applyBorder="1" applyProtection="1">
      <protection locked="0"/>
    </xf>
    <xf numFmtId="0" fontId="0" fillId="4" borderId="1" xfId="0" applyFill="1" applyBorder="1" applyProtection="1">
      <protection locked="0"/>
    </xf>
    <xf numFmtId="14" fontId="0" fillId="3" borderId="5" xfId="0" applyNumberFormat="1" applyFill="1" applyBorder="1" applyProtection="1">
      <protection locked="0"/>
    </xf>
    <xf numFmtId="44" fontId="0" fillId="3" borderId="5" xfId="0" applyNumberFormat="1" applyFill="1" applyBorder="1" applyProtection="1">
      <protection locked="0"/>
    </xf>
    <xf numFmtId="14" fontId="0" fillId="3" borderId="3" xfId="0" applyNumberFormat="1" applyFill="1" applyBorder="1" applyProtection="1">
      <protection locked="0"/>
    </xf>
    <xf numFmtId="44" fontId="0" fillId="3" borderId="3" xfId="0" applyNumberFormat="1" applyFill="1" applyBorder="1" applyProtection="1">
      <protection locked="0"/>
    </xf>
    <xf numFmtId="0" fontId="2" fillId="2" borderId="0" xfId="0" applyFont="1" applyFill="1" applyAlignment="1" applyProtection="1">
      <alignment horizontal="center"/>
      <protection locked="0"/>
    </xf>
    <xf numFmtId="0" fontId="2" fillId="2" borderId="0" xfId="0" applyFont="1" applyFill="1" applyAlignment="1" applyProtection="1">
      <alignment horizontal="center"/>
    </xf>
    <xf numFmtId="0" fontId="0" fillId="2" borderId="0" xfId="0" applyFill="1" applyAlignment="1" applyProtection="1">
      <alignment horizontal="center"/>
    </xf>
    <xf numFmtId="0" fontId="4" fillId="6" borderId="16" xfId="0" applyFont="1" applyFill="1" applyBorder="1" applyAlignment="1">
      <alignment horizontal="center"/>
    </xf>
    <xf numFmtId="0" fontId="0" fillId="6" borderId="15" xfId="0" applyFill="1" applyBorder="1" applyAlignment="1">
      <alignment horizontal="center"/>
    </xf>
    <xf numFmtId="165" fontId="3" fillId="5" borderId="12" xfId="0" applyNumberFormat="1" applyFont="1" applyFill="1" applyBorder="1" applyAlignment="1">
      <alignment horizontal="center"/>
    </xf>
    <xf numFmtId="165" fontId="3" fillId="5" borderId="0" xfId="0" applyNumberFormat="1" applyFont="1" applyFill="1" applyBorder="1" applyAlignment="1">
      <alignment horizontal="center"/>
    </xf>
    <xf numFmtId="0" fontId="0" fillId="0" borderId="0" xfId="0" applyAlignment="1">
      <alignment horizontal="left" indent="1"/>
    </xf>
  </cellXfs>
  <cellStyles count="1">
    <cellStyle name="Normal" xfId="0" builtinId="0"/>
  </cellStyles>
  <dxfs count="69">
    <dxf>
      <font>
        <color rgb="FF9C0006"/>
      </font>
      <fill>
        <patternFill>
          <bgColor rgb="FFFFC7CE"/>
        </patternFill>
      </fill>
    </dxf>
    <dxf>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34" formatCode="_(&quot;$&quot;* #,##0.00_);_(&quot;$&quot;* \(#,##0.00\);_(&quot;$&quot;* &quot;-&quot;??_);_(@_)"/>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34" formatCode="_(&quot;$&quot;* #,##0.00_);_(&quot;$&quot;* \(#,##0.00\);_(&quot;$&quot;* &quot;-&quot;??_);_(@_)"/>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35" formatCode="_(* #,##0.00_);_(* \(#,##0.00\);_(* &quot;-&quot;??_);_(@_)"/>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19" formatCode="m/d/yyyy"/>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19" formatCode="m/d/yyyy"/>
      <border diagonalUp="0" diagonalDown="0">
        <left/>
        <right style="thin">
          <color theme="1"/>
        </right>
        <top style="thin">
          <color theme="1"/>
        </top>
        <bottom style="thin">
          <color theme="1"/>
        </bottom>
        <vertical style="thin">
          <color theme="1"/>
        </vertical>
        <horizontal style="thin">
          <color theme="1"/>
        </horizontal>
      </border>
    </dxf>
    <dxf>
      <border>
        <top style="thin">
          <color theme="1"/>
        </top>
      </border>
    </dxf>
    <dxf>
      <border diagonalUp="0" diagonalDown="0">
        <left style="thin">
          <color theme="1"/>
        </left>
        <right style="thin">
          <color theme="1"/>
        </right>
        <top style="thin">
          <color theme="1"/>
        </top>
        <bottom style="thin">
          <color theme="1"/>
        </bottom>
      </border>
    </dxf>
    <dxf>
      <border>
        <bottom style="thin">
          <color theme="1"/>
        </bottom>
      </border>
    </dxf>
    <dxf>
      <border diagonalUp="0" diagonalDown="0">
        <left style="thin">
          <color theme="1"/>
        </left>
        <right style="thin">
          <color theme="1"/>
        </right>
        <top/>
        <bottom/>
        <vertical style="thin">
          <color theme="1"/>
        </vertical>
        <horizontal style="thin">
          <color theme="1"/>
        </horizontal>
      </border>
    </dxf>
    <dxf>
      <protection locked="0" hidden="0"/>
    </dxf>
    <dxf>
      <numFmt numFmtId="164" formatCode="m/d/yyyy;@"/>
      <protection locked="0" hidden="0"/>
    </dxf>
    <dxf>
      <numFmt numFmtId="34" formatCode="_(&quot;$&quot;* #,##0.00_);_(&quot;$&quot;* \(#,##0.00\);_(&quot;$&quot;* &quot;-&quot;??_);_(@_)"/>
      <protection locked="0" hidden="0"/>
    </dxf>
    <dxf>
      <protection locked="0" hidden="0"/>
    </dxf>
    <dxf>
      <protection locked="0" hidden="0"/>
    </dxf>
    <dxf>
      <protection locked="0" hidden="0"/>
    </dxf>
    <dxf>
      <protection locked="1" hidden="0"/>
    </dxf>
    <dxf>
      <numFmt numFmtId="19" formatCode="m/d/yyyy"/>
      <protection locked="0" hidden="0"/>
    </dxf>
    <dxf>
      <numFmt numFmtId="34" formatCode="_(&quot;$&quot;* #,##0.00_);_(&quot;$&quot;* \(#,##0.00\);_(&quot;$&quot;* &quot;-&quot;??_);_(@_)"/>
      <protection locked="0" hidden="0"/>
    </dxf>
    <dxf>
      <protection locked="0" hidden="0"/>
    </dxf>
    <dxf>
      <protection locked="0" hidden="0"/>
    </dxf>
    <dxf>
      <protection locked="0" hidden="0"/>
    </dxf>
    <dxf>
      <protection locked="0" hidden="0"/>
    </dxf>
    <dxf>
      <fill>
        <patternFill>
          <fgColor rgb="FFFF0000"/>
        </patternFill>
      </fill>
    </dxf>
    <dxf>
      <border>
        <left style="thin">
          <color rgb="FFFF0000"/>
        </left>
        <right style="thin">
          <color rgb="FFFF0000"/>
        </right>
        <top style="thin">
          <color rgb="FFFF0000"/>
        </top>
        <bottom style="thin">
          <color rgb="FFFF0000"/>
        </bottom>
      </border>
    </dxf>
    <dxf>
      <fill>
        <patternFill>
          <bgColor rgb="FFF78579"/>
        </patternFill>
      </fill>
    </dxf>
    <dxf>
      <fill>
        <patternFill>
          <bgColor theme="0" tint="-0.14996795556505021"/>
        </patternFill>
      </fill>
    </dxf>
    <dxf>
      <font>
        <color theme="0"/>
      </font>
      <fill>
        <patternFill>
          <bgColor rgb="FFFF0000"/>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patternType="solid">
          <fgColor rgb="FFFB7061"/>
          <bgColor rgb="FFF9B1AD"/>
        </patternFill>
      </fill>
    </dxf>
    <dxf>
      <fill>
        <patternFill patternType="solid">
          <fgColor theme="9" tint="0.79998168889431442"/>
          <bgColor theme="9" tint="0.79998168889431442"/>
        </patternFill>
      </fill>
    </dxf>
    <dxf>
      <font>
        <b/>
        <color theme="1"/>
      </font>
    </dxf>
    <dxf>
      <font>
        <b/>
        <color theme="1"/>
      </font>
      <fill>
        <patternFill patternType="solid">
          <fgColor theme="9" tint="0.79998168889431442"/>
          <bgColor theme="9" tint="0.79998168889431442"/>
        </patternFill>
      </fill>
    </dxf>
    <dxf>
      <font>
        <b/>
        <color theme="1"/>
      </font>
    </dxf>
    <dxf>
      <font>
        <b/>
        <color theme="1"/>
      </font>
      <fill>
        <patternFill patternType="solid">
          <fgColor theme="9" tint="0.59999389629810485"/>
          <bgColor theme="9" tint="0.59999389629810485"/>
        </patternFill>
      </fill>
    </dxf>
    <dxf>
      <font>
        <b/>
        <color theme="1"/>
      </font>
      <border>
        <left style="medium">
          <color theme="9" tint="0.59999389629810485"/>
        </left>
        <right style="medium">
          <color theme="9" tint="0.59999389629810485"/>
        </right>
        <top style="medium">
          <color theme="9" tint="0.59999389629810485"/>
        </top>
        <bottom style="medium">
          <color theme="9" tint="0.59999389629810485"/>
        </bottom>
      </border>
    </dxf>
    <dxf>
      <border>
        <left style="thin">
          <color theme="9" tint="0.39997558519241921"/>
        </left>
        <right style="thin">
          <color theme="9" tint="0.39997558519241921"/>
        </right>
      </border>
    </dxf>
    <dxf>
      <fill>
        <patternFill>
          <fgColor rgb="FFFB7061"/>
        </patternFill>
      </fill>
      <border>
        <top style="thin">
          <color theme="9" tint="0.39997558519241921"/>
        </top>
        <bottom style="thin">
          <color theme="9" tint="0.39997558519241921"/>
        </bottom>
        <horizontal style="thin">
          <color theme="9" tint="0.39997558519241921"/>
        </horizontal>
      </border>
    </dxf>
    <dxf>
      <font>
        <b/>
        <color theme="1"/>
      </font>
      <border>
        <top style="thin">
          <color theme="9" tint="-0.249977111117893"/>
        </top>
        <bottom style="medium">
          <color theme="9" tint="-0.249977111117893"/>
        </bottom>
      </border>
    </dxf>
    <dxf>
      <font>
        <b/>
        <color theme="0"/>
      </font>
      <fill>
        <patternFill patternType="solid">
          <fgColor rgb="FFFF0000"/>
          <bgColor rgb="FFFF0000"/>
        </patternFill>
      </fill>
      <border>
        <top style="medium">
          <color theme="9" tint="-0.249977111117893"/>
        </top>
      </border>
    </dxf>
    <dxf>
      <font>
        <color theme="1"/>
      </font>
    </dxf>
    <dxf>
      <fill>
        <patternFill patternType="solid">
          <fgColor theme="4" tint="0.79998168889431442"/>
          <bgColor theme="4" tint="0.79998168889431442"/>
        </patternFill>
      </fill>
    </dxf>
    <dxf>
      <fill>
        <patternFill patternType="solid">
          <fgColor rgb="FFFB7061"/>
          <bgColor rgb="FFFB7061"/>
        </patternFill>
      </fill>
    </dxf>
    <dxf>
      <font>
        <b/>
        <color theme="1"/>
      </font>
    </dxf>
    <dxf>
      <font>
        <b/>
        <color theme="1"/>
      </font>
    </dxf>
    <dxf>
      <font>
        <b/>
        <color theme="1"/>
      </font>
      <border>
        <top style="double">
          <color theme="4"/>
        </top>
      </border>
    </dxf>
    <dxf>
      <font>
        <b/>
        <color theme="0"/>
      </font>
      <fill>
        <patternFill patternType="solid">
          <fgColor rgb="FFFF0000"/>
          <bgColor rgb="FFFF0000"/>
        </patternFill>
      </fill>
    </dxf>
    <dxf>
      <border>
        <left style="thin">
          <color theme="1"/>
        </left>
        <right style="thin">
          <color theme="1"/>
        </right>
        <top style="thin">
          <color theme="1"/>
        </top>
        <bottom style="thin">
          <color theme="1"/>
        </bottom>
        <vertical style="thin">
          <color theme="1"/>
        </vertical>
        <horizontal style="thin">
          <color theme="1"/>
        </horizontal>
      </border>
    </dxf>
    <dxf>
      <border>
        <top style="thin">
          <color theme="9" tint="0.79998168889431442"/>
        </top>
        <bottom style="thin">
          <color theme="9" tint="0.79998168889431442"/>
        </bottom>
      </border>
    </dxf>
    <dxf>
      <border>
        <top style="thin">
          <color theme="9" tint="0.79998168889431442"/>
        </top>
        <bottom style="thin">
          <color theme="9" tint="0.79998168889431442"/>
        </bottom>
      </border>
    </dxf>
    <dxf>
      <fill>
        <patternFill patternType="solid">
          <fgColor theme="9" tint="0.79998168889431442"/>
          <bgColor theme="9" tint="0.79998168889431442"/>
        </patternFill>
      </fill>
      <border>
        <bottom style="thin">
          <color theme="9"/>
        </bottom>
      </border>
    </dxf>
    <dxf>
      <font>
        <color theme="0"/>
      </font>
      <fill>
        <patternFill patternType="solid">
          <fgColor theme="9" tint="0.39997558519241921"/>
          <bgColor theme="9" tint="0.39997558519241921"/>
        </patternFill>
      </fill>
      <border>
        <bottom style="thin">
          <color theme="9" tint="0.79998168889431442"/>
        </bottom>
        <horizontal style="thin">
          <color theme="9" tint="0.39997558519241921"/>
        </horizontal>
      </border>
    </dxf>
    <dxf>
      <border>
        <bottom style="thin">
          <color theme="9" tint="0.59999389629810485"/>
        </bottom>
      </border>
    </dxf>
    <dxf>
      <font>
        <b/>
        <color theme="1"/>
      </font>
      <fill>
        <patternFill patternType="solid">
          <fgColor theme="0" tint="-0.14999847407452621"/>
          <bgColor theme="0" tint="-0.14999847407452621"/>
        </patternFill>
      </fill>
    </dxf>
    <dxf>
      <font>
        <b/>
        <color theme="0"/>
      </font>
      <fill>
        <patternFill patternType="solid">
          <fgColor theme="9" tint="0.39997558519241921"/>
          <bgColor theme="9" tint="0.39997558519241921"/>
        </patternFill>
      </fill>
    </dxf>
    <dxf>
      <font>
        <b/>
        <color theme="0"/>
      </font>
    </dxf>
    <dxf>
      <border>
        <left style="thin">
          <color theme="9" tint="-0.249977111117893"/>
        </left>
        <right style="thin">
          <color theme="9" tint="-0.249977111117893"/>
        </right>
      </border>
    </dxf>
    <dxf>
      <border>
        <top style="thin">
          <color theme="9" tint="-0.249977111117893"/>
        </top>
        <bottom style="thin">
          <color theme="9" tint="-0.249977111117893"/>
        </bottom>
        <horizontal style="thin">
          <color theme="9" tint="-0.249977111117893"/>
        </horizontal>
      </border>
    </dxf>
    <dxf>
      <font>
        <b/>
        <color theme="1"/>
      </font>
      <border>
        <top style="double">
          <color theme="9" tint="-0.249977111117893"/>
        </top>
      </border>
    </dxf>
    <dxf>
      <font>
        <color theme="0"/>
      </font>
      <fill>
        <patternFill patternType="solid">
          <fgColor theme="9" tint="-0.249977111117893"/>
          <bgColor theme="9" tint="-0.249977111117893"/>
        </patternFill>
      </fill>
      <border>
        <horizontal style="thin">
          <color theme="9" tint="-0.249977111117893"/>
        </horizontal>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theme="1"/>
        </left>
        <right style="thin">
          <color theme="1"/>
        </right>
        <top style="thin">
          <color theme="1"/>
        </top>
        <bottom style="thin">
          <color theme="1"/>
        </bottom>
        <vertical style="thin">
          <color theme="1"/>
        </vertical>
        <horizontal style="thin">
          <color theme="1"/>
        </horizontal>
      </border>
    </dxf>
  </dxfs>
  <tableStyles count="7" defaultTableStyle="TableStyleMedium2" defaultPivotStyle="PivotStyleLight16">
    <tableStyle name="Custom Green" pivot="0" count="7" xr9:uid="{FD4B5C93-9773-419B-9EA8-2D944C47C7D1}">
      <tableStyleElement type="wholeTable" dxfId="68"/>
      <tableStyleElement type="headerRow" dxfId="67"/>
      <tableStyleElement type="totalRow" dxfId="66"/>
      <tableStyleElement type="firstColumn" dxfId="65"/>
      <tableStyleElement type="lastColumn" dxfId="64"/>
      <tableStyleElement type="firstRowStripe" dxfId="63"/>
      <tableStyleElement type="firstColumnStripe" dxfId="62"/>
    </tableStyle>
    <tableStyle name="Custom Green Pivot Table" table="0" count="13" xr9:uid="{A6858A93-890E-43A0-AD4E-210D023987D6}">
      <tableStyleElement type="wholeTable" dxfId="61"/>
      <tableStyleElement type="headerRow" dxfId="60"/>
      <tableStyleElement type="totalRow" dxfId="59"/>
      <tableStyleElement type="firstRowStripe" dxfId="58"/>
      <tableStyleElement type="firstColumnStripe" dxfId="57"/>
      <tableStyleElement type="firstHeaderCell" dxfId="56"/>
      <tableStyleElement type="firstSubtotalRow" dxfId="55"/>
      <tableStyleElement type="secondSubtotalRow" dxfId="54"/>
      <tableStyleElement type="firstColumnSubheading" dxfId="53"/>
      <tableStyleElement type="firstRowSubheading" dxfId="52"/>
      <tableStyleElement type="secondRowSubheading" dxfId="51"/>
      <tableStyleElement type="pageFieldLabels" dxfId="50"/>
      <tableStyleElement type="pageFieldValues" dxfId="49"/>
    </tableStyle>
    <tableStyle name="Custom Red" pivot="0" count="7" xr9:uid="{8936CFCC-B223-4714-A9BE-80A9DE6E3B71}">
      <tableStyleElement type="wholeTable" dxfId="48"/>
      <tableStyleElement type="headerRow" dxfId="47"/>
      <tableStyleElement type="totalRow" dxfId="46"/>
      <tableStyleElement type="firstColumn" dxfId="45"/>
      <tableStyleElement type="lastColumn" dxfId="44"/>
      <tableStyleElement type="firstRowStripe" dxfId="43"/>
      <tableStyleElement type="firstColumnStripe" dxfId="42"/>
    </tableStyle>
    <tableStyle name="Custom Red PivotTable" table="0" count="12" xr9:uid="{72996B51-055C-4E3C-B574-F3F2BCBEF6D2}">
      <tableStyleElement type="wholeTable" dxfId="41"/>
      <tableStyleElement type="headerRow" dxfId="40"/>
      <tableStyleElement type="totalRow" dxfId="39"/>
      <tableStyleElement type="firstRowStripe" dxfId="38"/>
      <tableStyleElement type="firstColumnStripe" dxfId="37"/>
      <tableStyleElement type="firstSubtotalColumn" dxfId="36"/>
      <tableStyleElement type="firstSubtotalRow" dxfId="35"/>
      <tableStyleElement type="secondSubtotalRow" dxfId="34"/>
      <tableStyleElement type="firstRowSubheading" dxfId="33"/>
      <tableStyleElement type="secondRowSubheading" dxfId="32"/>
      <tableStyleElement type="pageFieldLabels" dxfId="31"/>
      <tableStyleElement type="pageFieldValues" dxfId="30"/>
    </tableStyle>
    <tableStyle name="PivotTable Style 1" table="0" count="4" xr9:uid="{70854AFE-CE0A-42FC-9BCE-E4814DBABE23}">
      <tableStyleElement type="wholeTable" dxfId="29"/>
      <tableStyleElement type="headerRow" dxfId="28"/>
      <tableStyleElement type="totalRow" dxfId="27"/>
      <tableStyleElement type="firstRowStripe" dxfId="26"/>
    </tableStyle>
    <tableStyle name="Slicer Style 1" pivot="0" table="0" count="5" xr9:uid="{CD7A4421-3454-42F8-8E0F-861A5109D4B6}">
      <tableStyleElement type="wholeTable" dxfId="25"/>
    </tableStyle>
    <tableStyle name="Table Style 1" pivot="0" count="1" xr9:uid="{2DB9EF29-9DDB-46E1-AC0A-3CB144B0C062}">
      <tableStyleElement type="wholeTable" dxfId="24"/>
    </tableStyle>
  </tableStyles>
  <colors>
    <mruColors>
      <color rgb="FFF8BABA"/>
      <color rgb="FFF78579"/>
      <color rgb="FFFA6B58"/>
      <color rgb="FFFB7061"/>
      <color rgb="FFF9B1AD"/>
    </mruColors>
  </colors>
  <extLst>
    <ext xmlns:x14="http://schemas.microsoft.com/office/spreadsheetml/2009/9/main" uri="{46F421CA-312F-682f-3DD2-61675219B42D}">
      <x14:dxfs count="4">
        <dxf>
          <fill>
            <patternFill>
              <bgColor rgb="FFFF0000"/>
            </patternFill>
          </fill>
        </dxf>
        <dxf>
          <fill>
            <patternFill>
              <bgColor theme="0" tint="-0.24994659260841701"/>
            </patternFill>
          </fill>
        </dxf>
        <dxf>
          <font>
            <color theme="0"/>
          </font>
          <fill>
            <patternFill>
              <bgColor rgb="FFFF0000"/>
            </patternFill>
          </fill>
        </dxf>
        <dxf>
          <fill>
            <patternFill>
              <bgColor theme="0"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1.xml"/><Relationship Id="rId18" Type="http://schemas.microsoft.com/office/2007/relationships/slicerCache" Target="slicerCaches/slicerCache6.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7.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openxmlformats.org/officeDocument/2006/relationships/connections" Target="connections.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pivotCacheDefinition" Target="pivotCache/pivotCacheDefinition6.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theme" Target="theme/theme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11/relationships/timelineCache" Target="timelineCaches/timelineCache2.xml"/><Relationship Id="rId28" Type="http://schemas.openxmlformats.org/officeDocument/2006/relationships/powerPivotData" Target="model/item.data"/><Relationship Id="rId10" Type="http://schemas.openxmlformats.org/officeDocument/2006/relationships/pivotCacheDefinition" Target="pivotCache/pivotCacheDefinition3.xml"/><Relationship Id="rId19"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microsoft.com/office/2011/relationships/timelineCache" Target="timelineCaches/timelineCache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[ISM 120 Financial Planner Final Verson - Larry Roberts.xlsm]Income Tracker Dashboard!PivotTable1</c:name>
    <c:fmtId val="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solidFill>
                  <a:schemeClr val="accent6"/>
                </a:solidFill>
              </a:rPr>
              <a:t>Income</a:t>
            </a:r>
            <a:r>
              <a:rPr lang="en-US" baseline="0">
                <a:solidFill>
                  <a:schemeClr val="accent6"/>
                </a:solidFill>
              </a:rPr>
              <a:t> Over Time for Matt and Emma</a:t>
            </a:r>
            <a:endParaRPr lang="en-US">
              <a:solidFill>
                <a:schemeClr val="accent6"/>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bg1">
                <a:lumMod val="95000"/>
              </a:schemeClr>
            </a:solidFill>
            <a:round/>
          </a:ln>
          <a:effectLst/>
        </c:spPr>
        <c:marker>
          <c:symbol val="circle"/>
          <c:size val="5"/>
          <c:spPr>
            <a:solidFill>
              <a:schemeClr val="bg1">
                <a:lumMod val="95000"/>
              </a:schemeClr>
            </a:solidFill>
            <a:ln w="9525">
              <a:solidFill>
                <a:schemeClr val="bg1">
                  <a:lumMod val="95000"/>
                </a:schemeClr>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'Income Tracker Dashboard'!$C$20:$C$21</c:f>
              <c:strCache>
                <c:ptCount val="1"/>
                <c:pt idx="0">
                  <c:v>Emma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'Income Tracker Dashboard'!$B$22:$B$29</c:f>
              <c:multiLvlStrCache>
                <c:ptCount val="5"/>
                <c:lvl>
                  <c:pt idx="0">
                    <c:v>Jan</c:v>
                  </c:pt>
                  <c:pt idx="1">
                    <c:v>Feb</c:v>
                  </c:pt>
                  <c:pt idx="2">
                    <c:v>Mar</c:v>
                  </c:pt>
                  <c:pt idx="3">
                    <c:v>Apr</c:v>
                  </c:pt>
                  <c:pt idx="4">
                    <c:v>Jan</c:v>
                  </c:pt>
                </c:lvl>
                <c:lvl>
                  <c:pt idx="0">
                    <c:v>2019</c:v>
                  </c:pt>
                  <c:pt idx="4">
                    <c:v>2030</c:v>
                  </c:pt>
                </c:lvl>
              </c:multiLvlStrCache>
            </c:multiLvlStrRef>
          </c:cat>
          <c:val>
            <c:numRef>
              <c:f>'Income Tracker Dashboard'!$C$22:$C$29</c:f>
              <c:numCache>
                <c:formatCode>General</c:formatCode>
                <c:ptCount val="5"/>
                <c:pt idx="0">
                  <c:v>4050</c:v>
                </c:pt>
                <c:pt idx="1">
                  <c:v>4050</c:v>
                </c:pt>
                <c:pt idx="2">
                  <c:v>4050</c:v>
                </c:pt>
                <c:pt idx="3">
                  <c:v>2000</c:v>
                </c:pt>
                <c:pt idx="4">
                  <c:v>10000</c:v>
                </c:pt>
              </c:numCache>
            </c:numRef>
          </c:val>
          <c:smooth val="0"/>
          <c:extLst>
            <c:ext xmlns:c16="http://schemas.microsoft.com/office/drawing/2014/chart" uri="{C3380CC4-5D6E-409C-BE32-E72D297353CC}">
              <c16:uniqueId val="{00000000-17CB-443F-B057-F295BF012CB8}"/>
            </c:ext>
          </c:extLst>
        </c:ser>
        <c:ser>
          <c:idx val="1"/>
          <c:order val="1"/>
          <c:tx>
            <c:strRef>
              <c:f>'Income Tracker Dashboard'!$D$20:$D$21</c:f>
              <c:strCache>
                <c:ptCount val="1"/>
                <c:pt idx="0">
                  <c:v>Matt</c:v>
                </c:pt>
              </c:strCache>
            </c:strRef>
          </c:tx>
          <c:spPr>
            <a:ln w="28575" cap="rnd">
              <a:solidFill>
                <a:schemeClr val="bg1">
                  <a:lumMod val="95000"/>
                </a:schemeClr>
              </a:solidFill>
              <a:round/>
            </a:ln>
            <a:effectLst/>
          </c:spPr>
          <c:marker>
            <c:symbol val="circle"/>
            <c:size val="5"/>
            <c:spPr>
              <a:solidFill>
                <a:schemeClr val="bg1">
                  <a:lumMod val="95000"/>
                </a:schemeClr>
              </a:solidFill>
              <a:ln w="9525">
                <a:solidFill>
                  <a:schemeClr val="bg1">
                    <a:lumMod val="95000"/>
                  </a:schemeClr>
                </a:solidFill>
              </a:ln>
              <a:effectLst/>
            </c:spPr>
          </c:marker>
          <c:cat>
            <c:multiLvlStrRef>
              <c:f>'Income Tracker Dashboard'!$B$22:$B$29</c:f>
              <c:multiLvlStrCache>
                <c:ptCount val="5"/>
                <c:lvl>
                  <c:pt idx="0">
                    <c:v>Jan</c:v>
                  </c:pt>
                  <c:pt idx="1">
                    <c:v>Feb</c:v>
                  </c:pt>
                  <c:pt idx="2">
                    <c:v>Mar</c:v>
                  </c:pt>
                  <c:pt idx="3">
                    <c:v>Apr</c:v>
                  </c:pt>
                  <c:pt idx="4">
                    <c:v>Jan</c:v>
                  </c:pt>
                </c:lvl>
                <c:lvl>
                  <c:pt idx="0">
                    <c:v>2019</c:v>
                  </c:pt>
                  <c:pt idx="4">
                    <c:v>2030</c:v>
                  </c:pt>
                </c:lvl>
              </c:multiLvlStrCache>
            </c:multiLvlStrRef>
          </c:cat>
          <c:val>
            <c:numRef>
              <c:f>'Income Tracker Dashboard'!$D$22:$D$29</c:f>
              <c:numCache>
                <c:formatCode>General</c:formatCode>
                <c:ptCount val="5"/>
                <c:pt idx="0">
                  <c:v>100</c:v>
                </c:pt>
                <c:pt idx="1">
                  <c:v>4000</c:v>
                </c:pt>
                <c:pt idx="2">
                  <c:v>300</c:v>
                </c:pt>
              </c:numCache>
            </c:numRef>
          </c:val>
          <c:smooth val="0"/>
          <c:extLst>
            <c:ext xmlns:c16="http://schemas.microsoft.com/office/drawing/2014/chart" uri="{C3380CC4-5D6E-409C-BE32-E72D297353CC}">
              <c16:uniqueId val="{00000005-17CB-443F-B057-F295BF012CB8}"/>
            </c:ext>
          </c:extLst>
        </c:ser>
        <c:dLbls>
          <c:showLegendKey val="0"/>
          <c:showVal val="0"/>
          <c:showCatName val="0"/>
          <c:showSerName val="0"/>
          <c:showPercent val="0"/>
          <c:showBubbleSize val="0"/>
        </c:dLbls>
        <c:marker val="1"/>
        <c:smooth val="0"/>
        <c:axId val="759553944"/>
        <c:axId val="759545088"/>
      </c:lineChart>
      <c:catAx>
        <c:axId val="759553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59545088"/>
        <c:crosses val="autoZero"/>
        <c:auto val="1"/>
        <c:lblAlgn val="ctr"/>
        <c:lblOffset val="100"/>
        <c:noMultiLvlLbl val="0"/>
      </c:catAx>
      <c:valAx>
        <c:axId val="759545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59553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[ISM 120 Financial Planner Final Verson - Larry Roberts.xlsm]Expense Tracker Dashboard!PivotTable7</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Breakdown of Percentage of Total Spending for each Expense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'Expense Tracker Dashboard'!$H$32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5D5-4772-BAD5-BDEC85E2DAA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5D5-4772-BAD5-BDEC85E2DAA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5D5-4772-BAD5-BDEC85E2DAA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5D5-4772-BAD5-BDEC85E2DAA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5D5-4772-BAD5-BDEC85E2DAA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5D5-4772-BAD5-BDEC85E2DAA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5D5-4772-BAD5-BDEC85E2DAA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5D5-4772-BAD5-BDEC85E2DAA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C5D5-4772-BAD5-BDEC85E2DAA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C5D5-4772-BAD5-BDEC85E2DAA9}"/>
              </c:ext>
            </c:extLst>
          </c:dPt>
          <c:cat>
            <c:strRef>
              <c:f>'Expense Tracker Dashboard'!$G$33:$G$43</c:f>
              <c:strCache>
                <c:ptCount val="10"/>
                <c:pt idx="0">
                  <c:v>Entertainment</c:v>
                </c:pt>
                <c:pt idx="1">
                  <c:v>Gas</c:v>
                </c:pt>
                <c:pt idx="2">
                  <c:v>Gifts</c:v>
                </c:pt>
                <c:pt idx="3">
                  <c:v>Groceries/Food</c:v>
                </c:pt>
                <c:pt idx="4">
                  <c:v>Mortgage/Rent</c:v>
                </c:pt>
                <c:pt idx="5">
                  <c:v>Other</c:v>
                </c:pt>
                <c:pt idx="6">
                  <c:v>Student Loans</c:v>
                </c:pt>
                <c:pt idx="7">
                  <c:v>Utilites</c:v>
                </c:pt>
                <c:pt idx="8">
                  <c:v>Tuition</c:v>
                </c:pt>
                <c:pt idx="9">
                  <c:v>Medical</c:v>
                </c:pt>
              </c:strCache>
            </c:strRef>
          </c:cat>
          <c:val>
            <c:numRef>
              <c:f>'Expense Tracker Dashboard'!$H$33:$H$43</c:f>
              <c:numCache>
                <c:formatCode>0.00%</c:formatCode>
                <c:ptCount val="10"/>
                <c:pt idx="0">
                  <c:v>1.859427296392711E-2</c:v>
                </c:pt>
                <c:pt idx="1">
                  <c:v>0.37671997024916326</c:v>
                </c:pt>
                <c:pt idx="2">
                  <c:v>1.4875418371141688E-3</c:v>
                </c:pt>
                <c:pt idx="3">
                  <c:v>1.1156563778356266E-2</c:v>
                </c:pt>
                <c:pt idx="4">
                  <c:v>0.11156563778356267</c:v>
                </c:pt>
                <c:pt idx="5">
                  <c:v>7.4377091855708439E-4</c:v>
                </c:pt>
                <c:pt idx="6">
                  <c:v>0.22313127556712534</c:v>
                </c:pt>
                <c:pt idx="7">
                  <c:v>5.5782818891781334E-2</c:v>
                </c:pt>
                <c:pt idx="8">
                  <c:v>0.18594272963927111</c:v>
                </c:pt>
                <c:pt idx="9">
                  <c:v>1.4875418371141688E-2</c:v>
                </c:pt>
              </c:numCache>
            </c:numRef>
          </c:val>
          <c:extLst>
            <c:ext xmlns:c16="http://schemas.microsoft.com/office/drawing/2014/chart" uri="{C3380CC4-5D6E-409C-BE32-E72D297353CC}">
              <c16:uniqueId val="{00000000-525D-47F9-BA8E-A6E01CF3689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[ISM 120 Financial Planner Final Verson - Larry Roberts.xlsm]Expense Tracker Dashboard!PivotTable2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F0000"/>
                </a:solidFill>
              </a:rPr>
              <a:t>Expenses</a:t>
            </a:r>
            <a:r>
              <a:rPr lang="en-US" baseline="0">
                <a:solidFill>
                  <a:srgbClr val="FF0000"/>
                </a:solidFill>
              </a:rPr>
              <a:t> Over Time for Matt and Emma</a:t>
            </a:r>
            <a:endParaRPr lang="en-US">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FF0000"/>
            </a:solidFill>
            <a:round/>
          </a:ln>
          <a:effectLst/>
        </c:spPr>
        <c:marker>
          <c:symbol val="circle"/>
          <c:size val="5"/>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bg1"/>
            </a:solidFill>
            <a:round/>
          </a:ln>
          <a:effectLst/>
        </c:spPr>
        <c:marker>
          <c:symbol val="circle"/>
          <c:size val="5"/>
          <c:spPr>
            <a:solidFill>
              <a:schemeClr val="bg1"/>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'Expense Tracker Dashboard'!$C$20:$C$21</c:f>
              <c:strCache>
                <c:ptCount val="1"/>
                <c:pt idx="0">
                  <c:v>Emma</c:v>
                </c:pt>
              </c:strCache>
            </c:strRef>
          </c:tx>
          <c:spPr>
            <a:ln w="28575" cap="rnd">
              <a:solidFill>
                <a:srgbClr val="FF0000"/>
              </a:solidFill>
              <a:round/>
            </a:ln>
            <a:effectLst/>
          </c:spPr>
          <c:marker>
            <c:symbol val="circle"/>
            <c:size val="5"/>
            <c:spPr>
              <a:solidFill>
                <a:srgbClr val="FF0000"/>
              </a:solidFill>
              <a:ln w="9525">
                <a:solidFill>
                  <a:srgbClr val="FF0000"/>
                </a:solidFill>
              </a:ln>
              <a:effectLst/>
            </c:spPr>
          </c:marker>
          <c:cat>
            <c:multiLvlStrRef>
              <c:f>'Expense Tracker Dashboard'!$B$22:$B$27</c:f>
              <c:multiLvlStrCache>
                <c:ptCount val="4"/>
                <c:lvl>
                  <c:pt idx="0">
                    <c:v>Jan</c:v>
                  </c:pt>
                  <c:pt idx="1">
                    <c:v>Feb</c:v>
                  </c:pt>
                  <c:pt idx="2">
                    <c:v>Mar</c:v>
                  </c:pt>
                  <c:pt idx="3">
                    <c:v>Apr</c:v>
                  </c:pt>
                </c:lvl>
                <c:lvl>
                  <c:pt idx="0">
                    <c:v>2019</c:v>
                  </c:pt>
                </c:lvl>
              </c:multiLvlStrCache>
            </c:multiLvlStrRef>
          </c:cat>
          <c:val>
            <c:numRef>
              <c:f>'Expense Tracker Dashboard'!$C$22:$C$27</c:f>
              <c:numCache>
                <c:formatCode>General</c:formatCode>
                <c:ptCount val="4"/>
                <c:pt idx="0">
                  <c:v>2730</c:v>
                </c:pt>
                <c:pt idx="1">
                  <c:v>2700</c:v>
                </c:pt>
                <c:pt idx="2">
                  <c:v>2700</c:v>
                </c:pt>
                <c:pt idx="3">
                  <c:v>2400</c:v>
                </c:pt>
              </c:numCache>
            </c:numRef>
          </c:val>
          <c:smooth val="0"/>
          <c:extLst>
            <c:ext xmlns:c16="http://schemas.microsoft.com/office/drawing/2014/chart" uri="{C3380CC4-5D6E-409C-BE32-E72D297353CC}">
              <c16:uniqueId val="{00000000-76D4-485E-99F8-F0E4C53C1BB1}"/>
            </c:ext>
          </c:extLst>
        </c:ser>
        <c:ser>
          <c:idx val="1"/>
          <c:order val="1"/>
          <c:tx>
            <c:strRef>
              <c:f>'Expense Tracker Dashboard'!$D$20:$D$21</c:f>
              <c:strCache>
                <c:ptCount val="1"/>
                <c:pt idx="0">
                  <c:v>Matt</c:v>
                </c:pt>
              </c:strCache>
            </c:strRef>
          </c:tx>
          <c:spPr>
            <a:ln w="28575" cap="rnd">
              <a:solidFill>
                <a:schemeClr val="bg1"/>
              </a:solidFill>
              <a:round/>
            </a:ln>
            <a:effectLst/>
          </c:spPr>
          <c:marker>
            <c:symbol val="circle"/>
            <c:size val="5"/>
            <c:spPr>
              <a:solidFill>
                <a:schemeClr val="bg1"/>
              </a:solidFill>
              <a:ln w="9525">
                <a:solidFill>
                  <a:schemeClr val="bg1"/>
                </a:solidFill>
              </a:ln>
              <a:effectLst/>
            </c:spPr>
          </c:marker>
          <c:cat>
            <c:multiLvlStrRef>
              <c:f>'Expense Tracker Dashboard'!$B$22:$B$27</c:f>
              <c:multiLvlStrCache>
                <c:ptCount val="4"/>
                <c:lvl>
                  <c:pt idx="0">
                    <c:v>Jan</c:v>
                  </c:pt>
                  <c:pt idx="1">
                    <c:v>Feb</c:v>
                  </c:pt>
                  <c:pt idx="2">
                    <c:v>Mar</c:v>
                  </c:pt>
                  <c:pt idx="3">
                    <c:v>Apr</c:v>
                  </c:pt>
                </c:lvl>
                <c:lvl>
                  <c:pt idx="0">
                    <c:v>2019</c:v>
                  </c:pt>
                </c:lvl>
              </c:multiLvlStrCache>
            </c:multiLvlStrRef>
          </c:cat>
          <c:val>
            <c:numRef>
              <c:f>'Expense Tracker Dashboard'!$D$22:$D$27</c:f>
              <c:numCache>
                <c:formatCode>General</c:formatCode>
                <c:ptCount val="4"/>
                <c:pt idx="0">
                  <c:v>5020</c:v>
                </c:pt>
                <c:pt idx="1">
                  <c:v>40</c:v>
                </c:pt>
                <c:pt idx="2">
                  <c:v>1300</c:v>
                </c:pt>
              </c:numCache>
            </c:numRef>
          </c:val>
          <c:smooth val="0"/>
          <c:extLst>
            <c:ext xmlns:c16="http://schemas.microsoft.com/office/drawing/2014/chart" uri="{C3380CC4-5D6E-409C-BE32-E72D297353CC}">
              <c16:uniqueId val="{00000005-76D4-485E-99F8-F0E4C53C1BB1}"/>
            </c:ext>
          </c:extLst>
        </c:ser>
        <c:dLbls>
          <c:showLegendKey val="0"/>
          <c:showVal val="0"/>
          <c:showCatName val="0"/>
          <c:showSerName val="0"/>
          <c:showPercent val="0"/>
          <c:showBubbleSize val="0"/>
        </c:dLbls>
        <c:marker val="1"/>
        <c:smooth val="0"/>
        <c:axId val="585617400"/>
        <c:axId val="585618384"/>
      </c:lineChart>
      <c:catAx>
        <c:axId val="585617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618384"/>
        <c:crosses val="autoZero"/>
        <c:auto val="1"/>
        <c:lblAlgn val="ctr"/>
        <c:lblOffset val="100"/>
        <c:noMultiLvlLbl val="0"/>
      </c:catAx>
      <c:valAx>
        <c:axId val="58561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617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14112</xdr:colOff>
      <xdr:row>20</xdr:row>
      <xdr:rowOff>28222</xdr:rowOff>
    </xdr:from>
    <xdr:to>
      <xdr:col>11</xdr:col>
      <xdr:colOff>0</xdr:colOff>
      <xdr:row>24</xdr:row>
      <xdr:rowOff>119944</xdr:rowOff>
    </xdr:to>
    <xdr:sp macro="[0]!Refresh_Income_Data" textlink="">
      <xdr:nvSpPr>
        <xdr:cNvPr id="6" name="Rectangle: Rounded Corners 5">
          <a:extLst>
            <a:ext uri="{FF2B5EF4-FFF2-40B4-BE49-F238E27FC236}">
              <a16:creationId xmlns:a16="http://schemas.microsoft.com/office/drawing/2014/main" id="{72D2E1E5-08A3-4019-B486-46FAF1D08661}"/>
            </a:ext>
          </a:extLst>
        </xdr:cNvPr>
        <xdr:cNvSpPr/>
      </xdr:nvSpPr>
      <xdr:spPr>
        <a:xfrm>
          <a:off x="5658556" y="3697111"/>
          <a:ext cx="2413000" cy="825500"/>
        </a:xfrm>
        <a:prstGeom prst="round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400"/>
            <a:t>Refresh Income Data</a:t>
          </a:r>
        </a:p>
      </xdr:txBody>
    </xdr:sp>
    <xdr:clientData/>
  </xdr:twoCellAnchor>
  <xdr:twoCellAnchor>
    <xdr:from>
      <xdr:col>8</xdr:col>
      <xdr:colOff>0</xdr:colOff>
      <xdr:row>1</xdr:row>
      <xdr:rowOff>0</xdr:rowOff>
    </xdr:from>
    <xdr:to>
      <xdr:col>15</xdr:col>
      <xdr:colOff>322015</xdr:colOff>
      <xdr:row>15</xdr:row>
      <xdr:rowOff>177517</xdr:rowOff>
    </xdr:to>
    <xdr:graphicFrame macro="">
      <xdr:nvGraphicFramePr>
        <xdr:cNvPr id="13" name="Chart 12">
          <a:extLst>
            <a:ext uri="{FF2B5EF4-FFF2-40B4-BE49-F238E27FC236}">
              <a16:creationId xmlns:a16="http://schemas.microsoft.com/office/drawing/2014/main" id="{EE1F868C-1101-4EB9-93E6-F9B830293A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xdr:row>
      <xdr:rowOff>0</xdr:rowOff>
    </xdr:from>
    <xdr:to>
      <xdr:col>3</xdr:col>
      <xdr:colOff>155081</xdr:colOff>
      <xdr:row>9</xdr:row>
      <xdr:rowOff>79869</xdr:rowOff>
    </xdr:to>
    <mc:AlternateContent xmlns:mc="http://schemas.openxmlformats.org/markup-compatibility/2006">
      <mc:Choice xmlns:tsle="http://schemas.microsoft.com/office/drawing/2012/timeslicer" Requires="tsle">
        <xdr:graphicFrame macro="">
          <xdr:nvGraphicFramePr>
            <xdr:cNvPr id="14" name="Date Received">
              <a:extLst>
                <a:ext uri="{FF2B5EF4-FFF2-40B4-BE49-F238E27FC236}">
                  <a16:creationId xmlns:a16="http://schemas.microsoft.com/office/drawing/2014/main" id="{7EF3006F-BE25-4535-BBA5-48793A731872}"/>
                </a:ext>
              </a:extLst>
            </xdr:cNvPr>
            <xdr:cNvGraphicFramePr/>
          </xdr:nvGraphicFramePr>
          <xdr:xfrm>
            <a:off x="0" y="0"/>
            <a:ext cx="0" cy="0"/>
          </xdr:xfrm>
          <a:graphic>
            <a:graphicData uri="http://schemas.microsoft.com/office/drawing/2012/timeslicer">
              <tsle:timeslicer xmlns:tsle="http://schemas.microsoft.com/office/drawing/2012/timeslicer" name="Date Received"/>
            </a:graphicData>
          </a:graphic>
        </xdr:graphicFrame>
      </mc:Choice>
      <mc:Fallback>
        <xdr:sp macro="" textlink="">
          <xdr:nvSpPr>
            <xdr:cNvPr id="0" name=""/>
            <xdr:cNvSpPr>
              <a:spLocks noTextEdit="1"/>
            </xdr:cNvSpPr>
          </xdr:nvSpPr>
          <xdr:spPr>
            <a:xfrm>
              <a:off x="0" y="366889"/>
              <a:ext cx="3315970" cy="136398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10</xdr:row>
      <xdr:rowOff>6209</xdr:rowOff>
    </xdr:from>
    <xdr:to>
      <xdr:col>1</xdr:col>
      <xdr:colOff>1215672</xdr:colOff>
      <xdr:row>15</xdr:row>
      <xdr:rowOff>155927</xdr:rowOff>
    </xdr:to>
    <mc:AlternateContent xmlns:mc="http://schemas.openxmlformats.org/markup-compatibility/2006">
      <mc:Choice xmlns:a14="http://schemas.microsoft.com/office/drawing/2010/main" Requires="a14">
        <xdr:graphicFrame macro="">
          <xdr:nvGraphicFramePr>
            <xdr:cNvPr id="15" name="Person">
              <a:extLst>
                <a:ext uri="{FF2B5EF4-FFF2-40B4-BE49-F238E27FC236}">
                  <a16:creationId xmlns:a16="http://schemas.microsoft.com/office/drawing/2014/main" id="{90739393-AB9C-4F76-AC64-3DCC37D2A949}"/>
                </a:ext>
              </a:extLst>
            </xdr:cNvPr>
            <xdr:cNvGraphicFramePr/>
          </xdr:nvGraphicFramePr>
          <xdr:xfrm>
            <a:off x="0" y="0"/>
            <a:ext cx="0" cy="0"/>
          </xdr:xfrm>
          <a:graphic>
            <a:graphicData uri="http://schemas.microsoft.com/office/drawing/2010/slicer">
              <sle:slicer xmlns:sle="http://schemas.microsoft.com/office/drawing/2010/slicer" name="Person"/>
            </a:graphicData>
          </a:graphic>
        </xdr:graphicFrame>
      </mc:Choice>
      <mc:Fallback>
        <xdr:sp macro="" textlink="">
          <xdr:nvSpPr>
            <xdr:cNvPr id="0" name=""/>
            <xdr:cNvSpPr>
              <a:spLocks noTextEdit="1"/>
            </xdr:cNvSpPr>
          </xdr:nvSpPr>
          <xdr:spPr>
            <a:xfrm>
              <a:off x="0" y="1839383"/>
              <a:ext cx="1822450" cy="1068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185137</xdr:colOff>
      <xdr:row>9</xdr:row>
      <xdr:rowOff>176673</xdr:rowOff>
    </xdr:from>
    <xdr:to>
      <xdr:col>6</xdr:col>
      <xdr:colOff>492336</xdr:colOff>
      <xdr:row>16</xdr:row>
      <xdr:rowOff>41769</xdr:rowOff>
    </xdr:to>
    <mc:AlternateContent xmlns:mc="http://schemas.openxmlformats.org/markup-compatibility/2006">
      <mc:Choice xmlns:a14="http://schemas.microsoft.com/office/drawing/2010/main" Requires="a14">
        <xdr:graphicFrame macro="">
          <xdr:nvGraphicFramePr>
            <xdr:cNvPr id="16" name="Date Received (Month)">
              <a:extLst>
                <a:ext uri="{FF2B5EF4-FFF2-40B4-BE49-F238E27FC236}">
                  <a16:creationId xmlns:a16="http://schemas.microsoft.com/office/drawing/2014/main" id="{94BC1A42-5079-4EA8-9207-FF8A624F8182}"/>
                </a:ext>
              </a:extLst>
            </xdr:cNvPr>
            <xdr:cNvGraphicFramePr/>
          </xdr:nvGraphicFramePr>
          <xdr:xfrm>
            <a:off x="0" y="0"/>
            <a:ext cx="0" cy="0"/>
          </xdr:xfrm>
          <a:graphic>
            <a:graphicData uri="http://schemas.microsoft.com/office/drawing/2010/slicer">
              <sle:slicer xmlns:sle="http://schemas.microsoft.com/office/drawing/2010/slicer" name="Date Received (Month)"/>
            </a:graphicData>
          </a:graphic>
        </xdr:graphicFrame>
      </mc:Choice>
      <mc:Fallback>
        <xdr:sp macro="" textlink="">
          <xdr:nvSpPr>
            <xdr:cNvPr id="0" name=""/>
            <xdr:cNvSpPr>
              <a:spLocks noTextEdit="1"/>
            </xdr:cNvSpPr>
          </xdr:nvSpPr>
          <xdr:spPr>
            <a:xfrm>
              <a:off x="3700074" y="1830213"/>
              <a:ext cx="1844040" cy="1146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1239519</xdr:colOff>
      <xdr:row>9</xdr:row>
      <xdr:rowOff>179072</xdr:rowOff>
    </xdr:from>
    <xdr:to>
      <xdr:col>4</xdr:col>
      <xdr:colOff>148730</xdr:colOff>
      <xdr:row>16</xdr:row>
      <xdr:rowOff>39794</xdr:rowOff>
    </xdr:to>
    <mc:AlternateContent xmlns:mc="http://schemas.openxmlformats.org/markup-compatibility/2006">
      <mc:Choice xmlns:a14="http://schemas.microsoft.com/office/drawing/2010/main" Requires="a14">
        <xdr:graphicFrame macro="">
          <xdr:nvGraphicFramePr>
            <xdr:cNvPr id="17" name="Source of Income">
              <a:extLst>
                <a:ext uri="{FF2B5EF4-FFF2-40B4-BE49-F238E27FC236}">
                  <a16:creationId xmlns:a16="http://schemas.microsoft.com/office/drawing/2014/main" id="{36E61E63-98C0-4EB4-8020-33BC5C6D5468}"/>
                </a:ext>
              </a:extLst>
            </xdr:cNvPr>
            <xdr:cNvGraphicFramePr/>
          </xdr:nvGraphicFramePr>
          <xdr:xfrm>
            <a:off x="0" y="0"/>
            <a:ext cx="0" cy="0"/>
          </xdr:xfrm>
          <a:graphic>
            <a:graphicData uri="http://schemas.microsoft.com/office/drawing/2010/slicer">
              <sle:slicer xmlns:sle="http://schemas.microsoft.com/office/drawing/2010/slicer" name="Source of Income"/>
            </a:graphicData>
          </a:graphic>
        </xdr:graphicFrame>
      </mc:Choice>
      <mc:Fallback>
        <xdr:sp macro="" textlink="">
          <xdr:nvSpPr>
            <xdr:cNvPr id="0" name=""/>
            <xdr:cNvSpPr>
              <a:spLocks noTextEdit="1"/>
            </xdr:cNvSpPr>
          </xdr:nvSpPr>
          <xdr:spPr>
            <a:xfrm>
              <a:off x="1848837" y="1831342"/>
              <a:ext cx="1813560" cy="11435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31</xdr:row>
      <xdr:rowOff>0</xdr:rowOff>
    </xdr:from>
    <xdr:to>
      <xdr:col>16</xdr:col>
      <xdr:colOff>476250</xdr:colOff>
      <xdr:row>45</xdr:row>
      <xdr:rowOff>165100</xdr:rowOff>
    </xdr:to>
    <xdr:graphicFrame macro="">
      <xdr:nvGraphicFramePr>
        <xdr:cNvPr id="9" name="Breakdown_of_Spending">
          <a:extLst>
            <a:ext uri="{FF2B5EF4-FFF2-40B4-BE49-F238E27FC236}">
              <a16:creationId xmlns:a16="http://schemas.microsoft.com/office/drawing/2014/main" id="{B9E2976F-7C1C-46C2-9E89-0FF21B72C3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xdr:row>
      <xdr:rowOff>13970</xdr:rowOff>
    </xdr:from>
    <xdr:to>
      <xdr:col>16</xdr:col>
      <xdr:colOff>334010</xdr:colOff>
      <xdr:row>16</xdr:row>
      <xdr:rowOff>0</xdr:rowOff>
    </xdr:to>
    <xdr:graphicFrame macro="">
      <xdr:nvGraphicFramePr>
        <xdr:cNvPr id="11" name="Chart 10">
          <a:extLst>
            <a:ext uri="{FF2B5EF4-FFF2-40B4-BE49-F238E27FC236}">
              <a16:creationId xmlns:a16="http://schemas.microsoft.com/office/drawing/2014/main" id="{A04871F7-E4BC-4DE3-A72D-FA0C16D8CC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xdr:row>
      <xdr:rowOff>0</xdr:rowOff>
    </xdr:from>
    <xdr:to>
      <xdr:col>4</xdr:col>
      <xdr:colOff>567690</xdr:colOff>
      <xdr:row>8</xdr:row>
      <xdr:rowOff>74930</xdr:rowOff>
    </xdr:to>
    <mc:AlternateContent xmlns:mc="http://schemas.openxmlformats.org/markup-compatibility/2006">
      <mc:Choice xmlns:tsle="http://schemas.microsoft.com/office/drawing/2012/timeslicer" Requires="tsle">
        <xdr:graphicFrame macro="">
          <xdr:nvGraphicFramePr>
            <xdr:cNvPr id="13" name="Expense Date">
              <a:extLst>
                <a:ext uri="{FF2B5EF4-FFF2-40B4-BE49-F238E27FC236}">
                  <a16:creationId xmlns:a16="http://schemas.microsoft.com/office/drawing/2014/main" id="{A6A75782-EDB2-43F4-93D4-4298C2E79E48}"/>
                </a:ext>
              </a:extLst>
            </xdr:cNvPr>
            <xdr:cNvGraphicFramePr/>
          </xdr:nvGraphicFramePr>
          <xdr:xfrm>
            <a:off x="0" y="0"/>
            <a:ext cx="0" cy="0"/>
          </xdr:xfrm>
          <a:graphic>
            <a:graphicData uri="http://schemas.microsoft.com/office/drawing/2012/timeslicer">
              <tsle:timeslicer xmlns:tsle="http://schemas.microsoft.com/office/drawing/2012/timeslicer" name="Expense Date"/>
            </a:graphicData>
          </a:graphic>
        </xdr:graphicFrame>
      </mc:Choice>
      <mc:Fallback>
        <xdr:sp macro="" textlink="">
          <xdr:nvSpPr>
            <xdr:cNvPr id="0" name=""/>
            <xdr:cNvSpPr>
              <a:spLocks noTextEdit="1"/>
            </xdr:cNvSpPr>
          </xdr:nvSpPr>
          <xdr:spPr>
            <a:xfrm>
              <a:off x="609600" y="184150"/>
              <a:ext cx="3310890" cy="136398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68580</xdr:colOff>
      <xdr:row>9</xdr:row>
      <xdr:rowOff>2541</xdr:rowOff>
    </xdr:from>
    <xdr:to>
      <xdr:col>2</xdr:col>
      <xdr:colOff>567690</xdr:colOff>
      <xdr:row>14</xdr:row>
      <xdr:rowOff>34290</xdr:rowOff>
    </xdr:to>
    <mc:AlternateContent xmlns:mc="http://schemas.openxmlformats.org/markup-compatibility/2006">
      <mc:Choice xmlns:a14="http://schemas.microsoft.com/office/drawing/2010/main" Requires="a14">
        <xdr:graphicFrame macro="">
          <xdr:nvGraphicFramePr>
            <xdr:cNvPr id="14" name="Person 1">
              <a:extLst>
                <a:ext uri="{FF2B5EF4-FFF2-40B4-BE49-F238E27FC236}">
                  <a16:creationId xmlns:a16="http://schemas.microsoft.com/office/drawing/2014/main" id="{3A362EE1-E58F-4E60-BFF4-83B4579AD3DB}"/>
                </a:ext>
              </a:extLst>
            </xdr:cNvPr>
            <xdr:cNvGraphicFramePr/>
          </xdr:nvGraphicFramePr>
          <xdr:xfrm>
            <a:off x="0" y="0"/>
            <a:ext cx="0" cy="0"/>
          </xdr:xfrm>
          <a:graphic>
            <a:graphicData uri="http://schemas.microsoft.com/office/drawing/2010/slicer">
              <sle:slicer xmlns:sle="http://schemas.microsoft.com/office/drawing/2010/slicer" name="Person 1"/>
            </a:graphicData>
          </a:graphic>
        </xdr:graphicFrame>
      </mc:Choice>
      <mc:Fallback>
        <xdr:sp macro="" textlink="">
          <xdr:nvSpPr>
            <xdr:cNvPr id="0" name=""/>
            <xdr:cNvSpPr>
              <a:spLocks noTextEdit="1"/>
            </xdr:cNvSpPr>
          </xdr:nvSpPr>
          <xdr:spPr>
            <a:xfrm>
              <a:off x="679450" y="1659891"/>
              <a:ext cx="183769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601980</xdr:colOff>
      <xdr:row>1</xdr:row>
      <xdr:rowOff>11431</xdr:rowOff>
    </xdr:from>
    <xdr:to>
      <xdr:col>7</xdr:col>
      <xdr:colOff>339090</xdr:colOff>
      <xdr:row>8</xdr:row>
      <xdr:rowOff>1</xdr:rowOff>
    </xdr:to>
    <mc:AlternateContent xmlns:mc="http://schemas.openxmlformats.org/markup-compatibility/2006">
      <mc:Choice xmlns:a14="http://schemas.microsoft.com/office/drawing/2010/main" Requires="a14">
        <xdr:graphicFrame macro="">
          <xdr:nvGraphicFramePr>
            <xdr:cNvPr id="15" name="Reason for Expenditure">
              <a:extLst>
                <a:ext uri="{FF2B5EF4-FFF2-40B4-BE49-F238E27FC236}">
                  <a16:creationId xmlns:a16="http://schemas.microsoft.com/office/drawing/2014/main" id="{996883F9-4808-48C5-91AE-8BD439697C99}"/>
                </a:ext>
              </a:extLst>
            </xdr:cNvPr>
            <xdr:cNvGraphicFramePr/>
          </xdr:nvGraphicFramePr>
          <xdr:xfrm>
            <a:off x="0" y="0"/>
            <a:ext cx="0" cy="0"/>
          </xdr:xfrm>
          <a:graphic>
            <a:graphicData uri="http://schemas.microsoft.com/office/drawing/2010/slicer">
              <sle:slicer xmlns:sle="http://schemas.microsoft.com/office/drawing/2010/slicer" name="Reason for Expenditure"/>
            </a:graphicData>
          </a:graphic>
        </xdr:graphicFrame>
      </mc:Choice>
      <mc:Fallback>
        <xdr:sp macro="" textlink="">
          <xdr:nvSpPr>
            <xdr:cNvPr id="0" name=""/>
            <xdr:cNvSpPr>
              <a:spLocks noTextEdit="1"/>
            </xdr:cNvSpPr>
          </xdr:nvSpPr>
          <xdr:spPr>
            <a:xfrm>
              <a:off x="3956050" y="193041"/>
              <a:ext cx="217424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584200</xdr:colOff>
      <xdr:row>9</xdr:row>
      <xdr:rowOff>10160</xdr:rowOff>
    </xdr:from>
    <xdr:to>
      <xdr:col>5</xdr:col>
      <xdr:colOff>262890</xdr:colOff>
      <xdr:row>14</xdr:row>
      <xdr:rowOff>41909</xdr:rowOff>
    </xdr:to>
    <mc:AlternateContent xmlns:mc="http://schemas.openxmlformats.org/markup-compatibility/2006">
      <mc:Choice xmlns:a14="http://schemas.microsoft.com/office/drawing/2010/main" Requires="a14">
        <xdr:graphicFrame macro="">
          <xdr:nvGraphicFramePr>
            <xdr:cNvPr id="16" name="Source">
              <a:extLst>
                <a:ext uri="{FF2B5EF4-FFF2-40B4-BE49-F238E27FC236}">
                  <a16:creationId xmlns:a16="http://schemas.microsoft.com/office/drawing/2014/main" id="{CB7F7B81-2AC8-41F0-B862-81FAAAF915F8}"/>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dr:sp macro="" textlink="">
          <xdr:nvSpPr>
            <xdr:cNvPr id="0" name=""/>
            <xdr:cNvSpPr>
              <a:spLocks noTextEdit="1"/>
            </xdr:cNvSpPr>
          </xdr:nvSpPr>
          <xdr:spPr>
            <a:xfrm>
              <a:off x="2531110" y="1666240"/>
              <a:ext cx="1833880" cy="953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279400</xdr:colOff>
      <xdr:row>9</xdr:row>
      <xdr:rowOff>8891</xdr:rowOff>
    </xdr:from>
    <xdr:to>
      <xdr:col>7</xdr:col>
      <xdr:colOff>612140</xdr:colOff>
      <xdr:row>14</xdr:row>
      <xdr:rowOff>78740</xdr:rowOff>
    </xdr:to>
    <mc:AlternateContent xmlns:mc="http://schemas.openxmlformats.org/markup-compatibility/2006">
      <mc:Choice xmlns:a14="http://schemas.microsoft.com/office/drawing/2010/main" Requires="a14">
        <xdr:graphicFrame macro="">
          <xdr:nvGraphicFramePr>
            <xdr:cNvPr id="17" name="Expense Date (Month)">
              <a:extLst>
                <a:ext uri="{FF2B5EF4-FFF2-40B4-BE49-F238E27FC236}">
                  <a16:creationId xmlns:a16="http://schemas.microsoft.com/office/drawing/2014/main" id="{A788578E-9759-4F08-A8F3-35B344FAB938}"/>
                </a:ext>
              </a:extLst>
            </xdr:cNvPr>
            <xdr:cNvGraphicFramePr/>
          </xdr:nvGraphicFramePr>
          <xdr:xfrm>
            <a:off x="0" y="0"/>
            <a:ext cx="0" cy="0"/>
          </xdr:xfrm>
          <a:graphic>
            <a:graphicData uri="http://schemas.microsoft.com/office/drawing/2010/slicer">
              <sle:slicer xmlns:sle="http://schemas.microsoft.com/office/drawing/2010/slicer" name="Expense Date (Month)"/>
            </a:graphicData>
          </a:graphic>
        </xdr:graphicFrame>
      </mc:Choice>
      <mc:Fallback>
        <xdr:sp macro="" textlink="">
          <xdr:nvSpPr>
            <xdr:cNvPr id="0" name=""/>
            <xdr:cNvSpPr>
              <a:spLocks noTextEdit="1"/>
            </xdr:cNvSpPr>
          </xdr:nvSpPr>
          <xdr:spPr>
            <a:xfrm>
              <a:off x="4378960" y="1664971"/>
              <a:ext cx="2024380" cy="991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38100</xdr:colOff>
      <xdr:row>18</xdr:row>
      <xdr:rowOff>12700</xdr:rowOff>
    </xdr:from>
    <xdr:to>
      <xdr:col>10</xdr:col>
      <xdr:colOff>660400</xdr:colOff>
      <xdr:row>22</xdr:row>
      <xdr:rowOff>139700</xdr:rowOff>
    </xdr:to>
    <xdr:sp macro="[0]!Refresh_Expense_Data" textlink="">
      <xdr:nvSpPr>
        <xdr:cNvPr id="19" name="Rectangle: Rounded Corners 18">
          <a:extLst>
            <a:ext uri="{FF2B5EF4-FFF2-40B4-BE49-F238E27FC236}">
              <a16:creationId xmlns:a16="http://schemas.microsoft.com/office/drawing/2014/main" id="{94E89922-57CD-4EF8-9778-461F87DB8748}"/>
            </a:ext>
          </a:extLst>
        </xdr:cNvPr>
        <xdr:cNvSpPr/>
      </xdr:nvSpPr>
      <xdr:spPr>
        <a:xfrm>
          <a:off x="5829300" y="3327400"/>
          <a:ext cx="2413000" cy="86360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a:t>Refresh Expense Data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rry roberts" refreshedDate="44210.763620717589" createdVersion="6" refreshedVersion="6" minRefreshableVersion="3" recordCount="20" xr:uid="{95A4A28B-33B5-42A4-81E3-2E9B8359EC84}">
  <cacheSource type="worksheet">
    <worksheetSource name="Expense_Tracker_Table"/>
  </cacheSource>
  <cacheFields count="5">
    <cacheField name="Person" numFmtId="0">
      <sharedItems/>
    </cacheField>
    <cacheField name="Source" numFmtId="0">
      <sharedItems/>
    </cacheField>
    <cacheField name="Amount Spent" numFmtId="44">
      <sharedItems containsSemiMixedTypes="0" containsString="0" containsNumber="1" containsInteger="1" minValue="20" maxValue="10000"/>
    </cacheField>
    <cacheField name="Expense Date" numFmtId="164">
      <sharedItems containsSemiMixedTypes="0" containsNonDate="0" containsDate="1" containsString="0" minDate="2019-01-01T00:00:00" maxDate="2025-01-02T00:00:00"/>
    </cacheField>
    <cacheField name="Reason for Expenditure" numFmtId="0">
      <sharedItems containsBlank="1" count="12">
        <s v="Other"/>
        <s v="Gas"/>
        <s v="Tuition"/>
        <s v="Student Loans"/>
        <s v="Utilites"/>
        <s v="Mortgage/Rent"/>
        <s v="Gifts"/>
        <s v="Groceries/Food"/>
        <s v="Entertainment"/>
        <s v="Medical"/>
        <m u="1"/>
        <s v="Clothing"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rry roberts" refreshedDate="44210.774510416668" backgroundQuery="1" createdVersion="6" refreshedVersion="6" minRefreshableVersion="3" recordCount="0" supportSubquery="1" supportAdvancedDrill="1" xr:uid="{AE5DE73D-9E17-4442-853B-70B89AF0B4F9}">
  <cacheSource type="external" connectionId="1"/>
  <cacheFields count="4">
    <cacheField name="[Income_Tracker_Table].[Person].[Person]" caption="Person" numFmtId="0" hierarchy="8" level="1">
      <sharedItems count="2">
        <s v="Emma"/>
        <s v="Matt"/>
      </sharedItems>
    </cacheField>
    <cacheField name="[Measures].[Sum of Amount Earned]" caption="Sum of Amount Earned" numFmtId="0" hierarchy="20" level="32767"/>
    <cacheField name="[Income_Tracker_Table].[Date Received (Month)].[Date Received (Month)]" caption="Date Received (Month)" numFmtId="0" hierarchy="14" level="1">
      <sharedItems count="4">
        <s v="Jan"/>
        <s v="Feb"/>
        <s v="Mar"/>
        <s v="Apr"/>
      </sharedItems>
    </cacheField>
    <cacheField name="[Income_Tracker_Table].[Date Received (Year)].[Date Received (Year)]" caption="Date Received (Year)" numFmtId="0" hierarchy="12" level="1">
      <sharedItems count="2">
        <s v="2019"/>
        <s v="2030"/>
      </sharedItems>
    </cacheField>
  </cacheFields>
  <cacheHierarchies count="23">
    <cacheHierarchy uniqueName="[Expense_Tracker_Table].[Person]" caption="Person" attribute="1" defaultMemberUniqueName="[Expense_Tracker_Table].[Person].[All]" allUniqueName="[Expense_Tracker_Table].[Person].[All]" dimensionUniqueName="[Expense_Tracker_Table]" displayFolder="" count="0" memberValueDatatype="130" unbalanced="0"/>
    <cacheHierarchy uniqueName="[Expense_Tracker_Table].[Source]" caption="Source" attribute="1" defaultMemberUniqueName="[Expense_Tracker_Table].[Source].[All]" allUniqueName="[Expense_Tracker_Table].[Source].[All]" dimensionUniqueName="[Expense_Tracker_Table]" displayFolder="" count="0" memberValueDatatype="130" unbalanced="0"/>
    <cacheHierarchy uniqueName="[Expense_Tracker_Table].[Amount Spent]" caption="Amount Spent" attribute="1" defaultMemberUniqueName="[Expense_Tracker_Table].[Amount Spent].[All]" allUniqueName="[Expense_Tracker_Table].[Amount Spent].[All]" dimensionUniqueName="[Expense_Tracker_Table]" displayFolder="" count="0" memberValueDatatype="20" unbalanced="0"/>
    <cacheHierarchy uniqueName="[Expense_Tracker_Table].[Expense Date]" caption="Expense Date" attribute="1" time="1" defaultMemberUniqueName="[Expense_Tracker_Table].[Expense Date].[All]" allUniqueName="[Expense_Tracker_Table].[Expense Date].[All]" dimensionUniqueName="[Expense_Tracker_Table]" displayFolder="" count="0" memberValueDatatype="7" unbalanced="0"/>
    <cacheHierarchy uniqueName="[Expense_Tracker_Table].[Reason for Expenditure]" caption="Reason for Expenditure" attribute="1" defaultMemberUniqueName="[Expense_Tracker_Table].[Reason for Expenditure].[All]" allUniqueName="[Expense_Tracker_Table].[Reason for Expenditure].[All]" dimensionUniqueName="[Expense_Tracker_Table]" displayFolder="" count="0" memberValueDatatype="130" unbalanced="0"/>
    <cacheHierarchy uniqueName="[Expense_Tracker_Table].[Expense Date (Year)]" caption="Expense Date (Year)" attribute="1" defaultMemberUniqueName="[Expense_Tracker_Table].[Expense Date (Year)].[All]" allUniqueName="[Expense_Tracker_Table].[Expense Date (Year)].[All]" dimensionUniqueName="[Expense_Tracker_Table]" displayFolder="" count="0" memberValueDatatype="130" unbalanced="0"/>
    <cacheHierarchy uniqueName="[Expense_Tracker_Table].[Expense Date (Quarter)]" caption="Expense Date (Quarter)" attribute="1" defaultMemberUniqueName="[Expense_Tracker_Table].[Expense Date (Quarter)].[All]" allUniqueName="[Expense_Tracker_Table].[Expense Date (Quarter)].[All]" dimensionUniqueName="[Expense_Tracker_Table]" displayFolder="" count="0" memberValueDatatype="130" unbalanced="0"/>
    <cacheHierarchy uniqueName="[Expense_Tracker_Table].[Expense Date (Month)]" caption="Expense Date (Month)" attribute="1" defaultMemberUniqueName="[Expense_Tracker_Table].[Expense Date (Month)].[All]" allUniqueName="[Expense_Tracker_Table].[Expense Date (Month)].[All]" dimensionUniqueName="[Expense_Tracker_Table]" displayFolder="" count="0" memberValueDatatype="130" unbalanced="0"/>
    <cacheHierarchy uniqueName="[Income_Tracker_Table].[Person]" caption="Person" attribute="1" defaultMemberUniqueName="[Income_Tracker_Table].[Person].[All]" allUniqueName="[Income_Tracker_Table].[Person].[All]" dimensionUniqueName="[Income_Tracker_Table]" displayFolder="" count="2" memberValueDatatype="130" unbalanced="0">
      <fieldsUsage count="2">
        <fieldUsage x="-1"/>
        <fieldUsage x="0"/>
      </fieldsUsage>
    </cacheHierarchy>
    <cacheHierarchy uniqueName="[Income_Tracker_Table].[Source of Income]" caption="Source of Income" attribute="1" defaultMemberUniqueName="[Income_Tracker_Table].[Source of Income].[All]" allUniqueName="[Income_Tracker_Table].[Source of Income].[All]" dimensionUniqueName="[Income_Tracker_Table]" displayFolder="" count="2" memberValueDatatype="130" unbalanced="0"/>
    <cacheHierarchy uniqueName="[Income_Tracker_Table].[Amount Earned]" caption="Amount Earned" attribute="1" defaultMemberUniqueName="[Income_Tracker_Table].[Amount Earned].[All]" allUniqueName="[Income_Tracker_Table].[Amount Earned].[All]" dimensionUniqueName="[Income_Tracker_Table]" displayFolder="" count="0" memberValueDatatype="20" unbalanced="0"/>
    <cacheHierarchy uniqueName="[Income_Tracker_Table].[Date Received]" caption="Date Received" attribute="1" time="1" defaultMemberUniqueName="[Income_Tracker_Table].[Date Received].[All]" allUniqueName="[Income_Tracker_Table].[Date Received].[All]" dimensionUniqueName="[Income_Tracker_Table]" displayFolder="" count="2" memberValueDatatype="7" unbalanced="0"/>
    <cacheHierarchy uniqueName="[Income_Tracker_Table].[Date Received (Year)]" caption="Date Received (Year)" attribute="1" defaultMemberUniqueName="[Income_Tracker_Table].[Date Received (Year)].[All]" allUniqueName="[Income_Tracker_Table].[Date Received (Year)].[All]" dimensionUniqueName="[Income_Tracker_Table]" displayFolder="" count="2" memberValueDatatype="130" unbalanced="0">
      <fieldsUsage count="2">
        <fieldUsage x="-1"/>
        <fieldUsage x="3"/>
      </fieldsUsage>
    </cacheHierarchy>
    <cacheHierarchy uniqueName="[Income_Tracker_Table].[Date Received (Quarter)]" caption="Date Received (Quarter)" attribute="1" defaultMemberUniqueName="[Income_Tracker_Table].[Date Received (Quarter)].[All]" allUniqueName="[Income_Tracker_Table].[Date Received (Quarter)].[All]" dimensionUniqueName="[Income_Tracker_Table]" displayFolder="" count="0" memberValueDatatype="130" unbalanced="0"/>
    <cacheHierarchy uniqueName="[Income_Tracker_Table].[Date Received (Month)]" caption="Date Received (Month)" attribute="1" defaultMemberUniqueName="[Income_Tracker_Table].[Date Received (Month)].[All]" allUniqueName="[Income_Tracker_Table].[Date Received (Month)].[All]" dimensionUniqueName="[Income_Tracker_Table]" displayFolder="" count="2" memberValueDatatype="130" unbalanced="0">
      <fieldsUsage count="2">
        <fieldUsage x="-1"/>
        <fieldUsage x="2"/>
      </fieldsUsage>
    </cacheHierarchy>
    <cacheHierarchy uniqueName="[Expense_Tracker_Table].[Expense Date (Month Index)]" caption="Expense Date (Month Index)" attribute="1" defaultMemberUniqueName="[Expense_Tracker_Table].[Expense Date (Month Index)].[All]" allUniqueName="[Expense_Tracker_Table].[Expense Date (Month Index)].[All]" dimensionUniqueName="[Expense_Tracker_Table]" displayFolder="" count="0" memberValueDatatype="20" unbalanced="0" hidden="1"/>
    <cacheHierarchy uniqueName="[Income_Tracker_Table].[Date Received (Month Index)]" caption="Date Received (Month Index)" attribute="1" defaultMemberUniqueName="[Income_Tracker_Table].[Date Received (Month Index)].[All]" allUniqueName="[Income_Tracker_Table].[Date Received (Month Index)].[All]" dimensionUniqueName="[Income_Tracker_Table]" displayFolder="" count="0" memberValueDatatype="20" unbalanced="0" hidden="1"/>
    <cacheHierarchy uniqueName="[Measures].[__XL_Count Income_Tracker_Table]" caption="__XL_Count Income_Tracker_Table" measure="1" displayFolder="" measureGroup="Income_Tracker_Table" count="0" hidden="1"/>
    <cacheHierarchy uniqueName="[Measures].[__XL_Count Expense_Tracker_Table]" caption="__XL_Count Expense_Tracker_Table" measure="1" displayFolder="" measureGroup="Expense_Tracker_Table" count="0" hidden="1"/>
    <cacheHierarchy uniqueName="[Measures].[__No measures defined]" caption="__No measures defined" measure="1" displayFolder="" count="0" hidden="1"/>
    <cacheHierarchy uniqueName="[Measures].[Sum of Amount Earned]" caption="Sum of Amount Earned" measure="1" displayFolder="" measureGroup="Income_Tracker_Tabl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Reason for Expenditure]" caption="Count of Reason for Expenditure" measure="1" displayFolder="" measureGroup="Expense_Tracker_Table" count="0" hidden="1">
      <extLst>
        <ext xmlns:x15="http://schemas.microsoft.com/office/spreadsheetml/2010/11/main" uri="{B97F6D7D-B522-45F9-BDA1-12C45D357490}">
          <x15:cacheHierarchy aggregatedColumn="4"/>
        </ext>
      </extLst>
    </cacheHierarchy>
    <cacheHierarchy uniqueName="[Measures].[Sum of Amount Spent]" caption="Sum of Amount Spent" measure="1" displayFolder="" measureGroup="Expense_Tracker_Table" count="0" hidden="1">
      <extLst>
        <ext xmlns:x15="http://schemas.microsoft.com/office/spreadsheetml/2010/11/main" uri="{B97F6D7D-B522-45F9-BDA1-12C45D357490}">
          <x15:cacheHierarchy aggregatedColumn="2"/>
        </ext>
      </extLst>
    </cacheHierarchy>
  </cacheHierarchies>
  <kpis count="0"/>
  <dimensions count="3">
    <dimension name="Expense_Tracker_Table" uniqueName="[Expense_Tracker_Table]" caption="Expense_Tracker_Table"/>
    <dimension name="Income_Tracker_Table" uniqueName="[Income_Tracker_Table]" caption="Income_Tracker_Table"/>
    <dimension measure="1" name="Measures" uniqueName="[Measures]" caption="Measures"/>
  </dimensions>
  <measureGroups count="2">
    <measureGroup name="Expense_Tracker_Table" caption="Expense_Tracker_Table"/>
    <measureGroup name="Income_Tracker_Table" caption="Income_Tracker_Table"/>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rry roberts" refreshedDate="44210.783704861111" backgroundQuery="1" createdVersion="6" refreshedVersion="6" minRefreshableVersion="3" recordCount="0" supportSubquery="1" supportAdvancedDrill="1" xr:uid="{9E7C0942-7FD5-4C02-82C0-0B0E6C589980}">
  <cacheSource type="external" connectionId="1"/>
  <cacheFields count="6">
    <cacheField name="[Expense_Tracker_Table].[Person].[Person]" caption="Person" numFmtId="0" level="1">
      <sharedItems count="2">
        <s v="Emma"/>
        <s v="Matt"/>
      </sharedItems>
    </cacheField>
    <cacheField name="[Expense_Tracker_Table].[Expense Date (Month)].[Expense Date (Month)]" caption="Expense Date (Month)" numFmtId="0" hierarchy="7" level="1">
      <sharedItems count="4">
        <s v="Jan"/>
        <s v="Feb"/>
        <s v="Mar"/>
        <s v="Apr"/>
      </sharedItems>
    </cacheField>
    <cacheField name="[Expense_Tracker_Table].[Expense Date (Year)].[Expense Date (Year)]" caption="Expense Date (Year)" numFmtId="0" hierarchy="5" level="1">
      <sharedItems count="1">
        <s v="2019"/>
      </sharedItems>
    </cacheField>
    <cacheField name="[Measures].[Sum of Amount Spent]" caption="Sum of Amount Spent" numFmtId="0" hierarchy="22" level="32767"/>
    <cacheField name="[Expense_Tracker_Table].[Reason for Expenditure].[Reason for Expenditure]" caption="Reason for Expenditure" numFmtId="0" hierarchy="4" level="1">
      <sharedItems containsSemiMixedTypes="0" containsNonDate="0" containsString="0"/>
    </cacheField>
    <cacheField name="[Expense_Tracker_Table].[Source].[Source]" caption="Source" numFmtId="0" hierarchy="1" level="1">
      <sharedItems containsSemiMixedTypes="0" containsNonDate="0" containsString="0"/>
    </cacheField>
  </cacheFields>
  <cacheHierarchies count="23">
    <cacheHierarchy uniqueName="[Expense_Tracker_Table].[Person]" caption="Person" attribute="1" defaultMemberUniqueName="[Expense_Tracker_Table].[Person].[All]" allUniqueName="[Expense_Tracker_Table].[Person].[All]" dimensionUniqueName="[Expense_Tracker_Table]" displayFolder="" count="2" memberValueDatatype="130" unbalanced="0">
      <fieldsUsage count="2">
        <fieldUsage x="-1"/>
        <fieldUsage x="0"/>
      </fieldsUsage>
    </cacheHierarchy>
    <cacheHierarchy uniqueName="[Expense_Tracker_Table].[Source]" caption="Source" attribute="1" defaultMemberUniqueName="[Expense_Tracker_Table].[Source].[All]" allUniqueName="[Expense_Tracker_Table].[Source].[All]" dimensionUniqueName="[Expense_Tracker_Table]" displayFolder="" count="2" memberValueDatatype="130" unbalanced="0">
      <fieldsUsage count="2">
        <fieldUsage x="-1"/>
        <fieldUsage x="5"/>
      </fieldsUsage>
    </cacheHierarchy>
    <cacheHierarchy uniqueName="[Expense_Tracker_Table].[Amount Spent]" caption="Amount Spent" attribute="1" defaultMemberUniqueName="[Expense_Tracker_Table].[Amount Spent].[All]" allUniqueName="[Expense_Tracker_Table].[Amount Spent].[All]" dimensionUniqueName="[Expense_Tracker_Table]" displayFolder="" count="0" memberValueDatatype="20" unbalanced="0"/>
    <cacheHierarchy uniqueName="[Expense_Tracker_Table].[Expense Date]" caption="Expense Date" attribute="1" time="1" defaultMemberUniqueName="[Expense_Tracker_Table].[Expense Date].[All]" allUniqueName="[Expense_Tracker_Table].[Expense Date].[All]" dimensionUniqueName="[Expense_Tracker_Table]" displayFolder="" count="2" memberValueDatatype="7" unbalanced="0"/>
    <cacheHierarchy uniqueName="[Expense_Tracker_Table].[Reason for Expenditure]" caption="Reason for Expenditure" attribute="1" defaultMemberUniqueName="[Expense_Tracker_Table].[Reason for Expenditure].[All]" allUniqueName="[Expense_Tracker_Table].[Reason for Expenditure].[All]" dimensionUniqueName="[Expense_Tracker_Table]" displayFolder="" count="2" memberValueDatatype="130" unbalanced="0">
      <fieldsUsage count="2">
        <fieldUsage x="-1"/>
        <fieldUsage x="4"/>
      </fieldsUsage>
    </cacheHierarchy>
    <cacheHierarchy uniqueName="[Expense_Tracker_Table].[Expense Date (Year)]" caption="Expense Date (Year)" attribute="1" defaultMemberUniqueName="[Expense_Tracker_Table].[Expense Date (Year)].[All]" allUniqueName="[Expense_Tracker_Table].[Expense Date (Year)].[All]" dimensionUniqueName="[Expense_Tracker_Table]" displayFolder="" count="2" memberValueDatatype="130" unbalanced="0">
      <fieldsUsage count="2">
        <fieldUsage x="-1"/>
        <fieldUsage x="2"/>
      </fieldsUsage>
    </cacheHierarchy>
    <cacheHierarchy uniqueName="[Expense_Tracker_Table].[Expense Date (Quarter)]" caption="Expense Date (Quarter)" attribute="1" defaultMemberUniqueName="[Expense_Tracker_Table].[Expense Date (Quarter)].[All]" allUniqueName="[Expense_Tracker_Table].[Expense Date (Quarter)].[All]" dimensionUniqueName="[Expense_Tracker_Table]" displayFolder="" count="0" memberValueDatatype="130" unbalanced="0"/>
    <cacheHierarchy uniqueName="[Expense_Tracker_Table].[Expense Date (Month)]" caption="Expense Date (Month)" attribute="1" defaultMemberUniqueName="[Expense_Tracker_Table].[Expense Date (Month)].[All]" allUniqueName="[Expense_Tracker_Table].[Expense Date (Month)].[All]" dimensionUniqueName="[Expense_Tracker_Table]" displayFolder="" count="2" memberValueDatatype="130" unbalanced="0">
      <fieldsUsage count="2">
        <fieldUsage x="-1"/>
        <fieldUsage x="1"/>
      </fieldsUsage>
    </cacheHierarchy>
    <cacheHierarchy uniqueName="[Income_Tracker_Table].[Person]" caption="Person" attribute="1" defaultMemberUniqueName="[Income_Tracker_Table].[Person].[All]" allUniqueName="[Income_Tracker_Table].[Person].[All]" dimensionUniqueName="[Income_Tracker_Table]" displayFolder="" count="0" memberValueDatatype="130" unbalanced="0"/>
    <cacheHierarchy uniqueName="[Income_Tracker_Table].[Source of Income]" caption="Source of Income" attribute="1" defaultMemberUniqueName="[Income_Tracker_Table].[Source of Income].[All]" allUniqueName="[Income_Tracker_Table].[Source of Income].[All]" dimensionUniqueName="[Income_Tracker_Table]" displayFolder="" count="0" memberValueDatatype="130" unbalanced="0"/>
    <cacheHierarchy uniqueName="[Income_Tracker_Table].[Amount Earned]" caption="Amount Earned" attribute="1" defaultMemberUniqueName="[Income_Tracker_Table].[Amount Earned].[All]" allUniqueName="[Income_Tracker_Table].[Amount Earned].[All]" dimensionUniqueName="[Income_Tracker_Table]" displayFolder="" count="0" memberValueDatatype="20" unbalanced="0"/>
    <cacheHierarchy uniqueName="[Income_Tracker_Table].[Date Received]" caption="Date Received" attribute="1" time="1" defaultMemberUniqueName="[Income_Tracker_Table].[Date Received].[All]" allUniqueName="[Income_Tracker_Table].[Date Received].[All]" dimensionUniqueName="[Income_Tracker_Table]" displayFolder="" count="0" memberValueDatatype="7" unbalanced="0"/>
    <cacheHierarchy uniqueName="[Income_Tracker_Table].[Date Received (Year)]" caption="Date Received (Year)" attribute="1" defaultMemberUniqueName="[Income_Tracker_Table].[Date Received (Year)].[All]" allUniqueName="[Income_Tracker_Table].[Date Received (Year)].[All]" dimensionUniqueName="[Income_Tracker_Table]" displayFolder="" count="0" memberValueDatatype="130" unbalanced="0"/>
    <cacheHierarchy uniqueName="[Income_Tracker_Table].[Date Received (Quarter)]" caption="Date Received (Quarter)" attribute="1" defaultMemberUniqueName="[Income_Tracker_Table].[Date Received (Quarter)].[All]" allUniqueName="[Income_Tracker_Table].[Date Received (Quarter)].[All]" dimensionUniqueName="[Income_Tracker_Table]" displayFolder="" count="0" memberValueDatatype="130" unbalanced="0"/>
    <cacheHierarchy uniqueName="[Income_Tracker_Table].[Date Received (Month)]" caption="Date Received (Month)" attribute="1" defaultMemberUniqueName="[Income_Tracker_Table].[Date Received (Month)].[All]" allUniqueName="[Income_Tracker_Table].[Date Received (Month)].[All]" dimensionUniqueName="[Income_Tracker_Table]" displayFolder="" count="0" memberValueDatatype="130" unbalanced="0"/>
    <cacheHierarchy uniqueName="[Expense_Tracker_Table].[Expense Date (Month Index)]" caption="Expense Date (Month Index)" attribute="1" defaultMemberUniqueName="[Expense_Tracker_Table].[Expense Date (Month Index)].[All]" allUniqueName="[Expense_Tracker_Table].[Expense Date (Month Index)].[All]" dimensionUniqueName="[Expense_Tracker_Table]" displayFolder="" count="0" memberValueDatatype="20" unbalanced="0" hidden="1"/>
    <cacheHierarchy uniqueName="[Income_Tracker_Table].[Date Received (Month Index)]" caption="Date Received (Month Index)" attribute="1" defaultMemberUniqueName="[Income_Tracker_Table].[Date Received (Month Index)].[All]" allUniqueName="[Income_Tracker_Table].[Date Received (Month Index)].[All]" dimensionUniqueName="[Income_Tracker_Table]" displayFolder="" count="0" memberValueDatatype="20" unbalanced="0" hidden="1"/>
    <cacheHierarchy uniqueName="[Measures].[__XL_Count Income_Tracker_Table]" caption="__XL_Count Income_Tracker_Table" measure="1" displayFolder="" measureGroup="Income_Tracker_Table" count="0" hidden="1"/>
    <cacheHierarchy uniqueName="[Measures].[__XL_Count Expense_Tracker_Table]" caption="__XL_Count Expense_Tracker_Table" measure="1" displayFolder="" measureGroup="Expense_Tracker_Table" count="0" hidden="1"/>
    <cacheHierarchy uniqueName="[Measures].[__No measures defined]" caption="__No measures defined" measure="1" displayFolder="" count="0" hidden="1"/>
    <cacheHierarchy uniqueName="[Measures].[Sum of Amount Earned]" caption="Sum of Amount Earned" measure="1" displayFolder="" measureGroup="Income_Tracker_Table" count="0" hidden="1">
      <extLst>
        <ext xmlns:x15="http://schemas.microsoft.com/office/spreadsheetml/2010/11/main" uri="{B97F6D7D-B522-45F9-BDA1-12C45D357490}">
          <x15:cacheHierarchy aggregatedColumn="10"/>
        </ext>
      </extLst>
    </cacheHierarchy>
    <cacheHierarchy uniqueName="[Measures].[Count of Reason for Expenditure]" caption="Count of Reason for Expenditure" measure="1" displayFolder="" measureGroup="Expense_Tracker_Table" count="0" hidden="1">
      <extLst>
        <ext xmlns:x15="http://schemas.microsoft.com/office/spreadsheetml/2010/11/main" uri="{B97F6D7D-B522-45F9-BDA1-12C45D357490}">
          <x15:cacheHierarchy aggregatedColumn="4"/>
        </ext>
      </extLst>
    </cacheHierarchy>
    <cacheHierarchy uniqueName="[Measures].[Sum of Amount Spent]" caption="Sum of Amount Spent" measure="1" displayFolder="" measureGroup="Expense_Tracker_Table" count="0" oneField="1" hidden="1">
      <fieldsUsage count="1">
        <fieldUsage x="3"/>
      </fieldsUsage>
      <extLst>
        <ext xmlns:x15="http://schemas.microsoft.com/office/spreadsheetml/2010/11/main" uri="{B97F6D7D-B522-45F9-BDA1-12C45D357490}">
          <x15:cacheHierarchy aggregatedColumn="2"/>
        </ext>
      </extLst>
    </cacheHierarchy>
  </cacheHierarchies>
  <kpis count="0"/>
  <dimensions count="3">
    <dimension name="Expense_Tracker_Table" uniqueName="[Expense_Tracker_Table]" caption="Expense_Tracker_Table"/>
    <dimension name="Income_Tracker_Table" uniqueName="[Income_Tracker_Table]" caption="Income_Tracker_Table"/>
    <dimension measure="1" name="Measures" uniqueName="[Measures]" caption="Measures"/>
  </dimensions>
  <measureGroups count="2">
    <measureGroup name="Expense_Tracker_Table" caption="Expense_Tracker_Table"/>
    <measureGroup name="Income_Tracker_Table" caption="Income_Tracker_Table"/>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rry roberts" refreshedDate="44210.764637152781" backgroundQuery="1" createdVersion="3" refreshedVersion="6" minRefreshableVersion="3" recordCount="0" supportSubquery="1" supportAdvancedDrill="1" xr:uid="{312E54A8-3420-407B-8B88-B0D2C6812076}">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Expense_Tracker_Table].[Person]" caption="Person" attribute="1" defaultMemberUniqueName="[Expense_Tracker_Table].[Person].[All]" allUniqueName="[Expense_Tracker_Table].[Person].[All]" dimensionUniqueName="[Expense_Tracker_Table]" displayFolder="" count="0" memberValueDatatype="130" unbalanced="0"/>
    <cacheHierarchy uniqueName="[Expense_Tracker_Table].[Source]" caption="Source" attribute="1" defaultMemberUniqueName="[Expense_Tracker_Table].[Source].[All]" allUniqueName="[Expense_Tracker_Table].[Source].[All]" dimensionUniqueName="[Expense_Tracker_Table]" displayFolder="" count="0" memberValueDatatype="130" unbalanced="0"/>
    <cacheHierarchy uniqueName="[Expense_Tracker_Table].[Amount Spent]" caption="Amount Spent" attribute="1" defaultMemberUniqueName="[Expense_Tracker_Table].[Amount Spent].[All]" allUniqueName="[Expense_Tracker_Table].[Amount Spent].[All]" dimensionUniqueName="[Expense_Tracker_Table]" displayFolder="" count="0" memberValueDatatype="20" unbalanced="0"/>
    <cacheHierarchy uniqueName="[Expense_Tracker_Table].[Expense Date]" caption="Expense Date" attribute="1" time="1" defaultMemberUniqueName="[Expense_Tracker_Table].[Expense Date].[All]" allUniqueName="[Expense_Tracker_Table].[Expense Date].[All]" dimensionUniqueName="[Expense_Tracker_Table]" displayFolder="" count="0" memberValueDatatype="7" unbalanced="0"/>
    <cacheHierarchy uniqueName="[Expense_Tracker_Table].[Reason for Expenditure]" caption="Reason for Expenditure" attribute="1" defaultMemberUniqueName="[Expense_Tracker_Table].[Reason for Expenditure].[All]" allUniqueName="[Expense_Tracker_Table].[Reason for Expenditure].[All]" dimensionUniqueName="[Expense_Tracker_Table]" displayFolder="" count="0" memberValueDatatype="130" unbalanced="0"/>
    <cacheHierarchy uniqueName="[Expense_Tracker_Table].[Expense Date (Year)]" caption="Expense Date (Year)" attribute="1" defaultMemberUniqueName="[Expense_Tracker_Table].[Expense Date (Year)].[All]" allUniqueName="[Expense_Tracker_Table].[Expense Date (Year)].[All]" dimensionUniqueName="[Expense_Tracker_Table]" displayFolder="" count="0" memberValueDatatype="130" unbalanced="0"/>
    <cacheHierarchy uniqueName="[Expense_Tracker_Table].[Expense Date (Quarter)]" caption="Expense Date (Quarter)" attribute="1" defaultMemberUniqueName="[Expense_Tracker_Table].[Expense Date (Quarter)].[All]" allUniqueName="[Expense_Tracker_Table].[Expense Date (Quarter)].[All]" dimensionUniqueName="[Expense_Tracker_Table]" displayFolder="" count="0" memberValueDatatype="130" unbalanced="0"/>
    <cacheHierarchy uniqueName="[Expense_Tracker_Table].[Expense Date (Month)]" caption="Expense Date (Month)" attribute="1" defaultMemberUniqueName="[Expense_Tracker_Table].[Expense Date (Month)].[All]" allUniqueName="[Expense_Tracker_Table].[Expense Date (Month)].[All]" dimensionUniqueName="[Expense_Tracker_Table]" displayFolder="" count="0" memberValueDatatype="130" unbalanced="0"/>
    <cacheHierarchy uniqueName="[Income_Tracker_Table].[Person]" caption="Person" attribute="1" defaultMemberUniqueName="[Income_Tracker_Table].[Person].[All]" allUniqueName="[Income_Tracker_Table].[Person].[All]" dimensionUniqueName="[Income_Tracker_Table]" displayFolder="" count="2" memberValueDatatype="130" unbalanced="0"/>
    <cacheHierarchy uniqueName="[Income_Tracker_Table].[Source of Income]" caption="Source of Income" attribute="1" defaultMemberUniqueName="[Income_Tracker_Table].[Source of Income].[All]" allUniqueName="[Income_Tracker_Table].[Source of Income].[All]" dimensionUniqueName="[Income_Tracker_Table]" displayFolder="" count="2" memberValueDatatype="130" unbalanced="0"/>
    <cacheHierarchy uniqueName="[Income_Tracker_Table].[Amount Earned]" caption="Amount Earned" attribute="1" defaultMemberUniqueName="[Income_Tracker_Table].[Amount Earned].[All]" allUniqueName="[Income_Tracker_Table].[Amount Earned].[All]" dimensionUniqueName="[Income_Tracker_Table]" displayFolder="" count="0" memberValueDatatype="20" unbalanced="0"/>
    <cacheHierarchy uniqueName="[Income_Tracker_Table].[Date Received]" caption="Date Received" attribute="1" time="1" defaultMemberUniqueName="[Income_Tracker_Table].[Date Received].[All]" allUniqueName="[Income_Tracker_Table].[Date Received].[All]" dimensionUniqueName="[Income_Tracker_Table]" displayFolder="" count="0" memberValueDatatype="7" unbalanced="0"/>
    <cacheHierarchy uniqueName="[Income_Tracker_Table].[Date Received (Year)]" caption="Date Received (Year)" attribute="1" defaultMemberUniqueName="[Income_Tracker_Table].[Date Received (Year)].[All]" allUniqueName="[Income_Tracker_Table].[Date Received (Year)].[All]" dimensionUniqueName="[Income_Tracker_Table]" displayFolder="" count="0" memberValueDatatype="130" unbalanced="0"/>
    <cacheHierarchy uniqueName="[Income_Tracker_Table].[Date Received (Quarter)]" caption="Date Received (Quarter)" attribute="1" defaultMemberUniqueName="[Income_Tracker_Table].[Date Received (Quarter)].[All]" allUniqueName="[Income_Tracker_Table].[Date Received (Quarter)].[All]" dimensionUniqueName="[Income_Tracker_Table]" displayFolder="" count="0" memberValueDatatype="130" unbalanced="0"/>
    <cacheHierarchy uniqueName="[Income_Tracker_Table].[Date Received (Month)]" caption="Date Received (Month)" attribute="1" defaultMemberUniqueName="[Income_Tracker_Table].[Date Received (Month)].[All]" allUniqueName="[Income_Tracker_Table].[Date Received (Month)].[All]" dimensionUniqueName="[Income_Tracker_Table]" displayFolder="" count="2" memberValueDatatype="130" unbalanced="0"/>
    <cacheHierarchy uniqueName="[Expense_Tracker_Table].[Expense Date (Month Index)]" caption="Expense Date (Month Index)" attribute="1" defaultMemberUniqueName="[Expense_Tracker_Table].[Expense Date (Month Index)].[All]" allUniqueName="[Expense_Tracker_Table].[Expense Date (Month Index)].[All]" dimensionUniqueName="[Expense_Tracker_Table]" displayFolder="" count="0" memberValueDatatype="20" unbalanced="0" hidden="1"/>
    <cacheHierarchy uniqueName="[Income_Tracker_Table].[Date Received (Month Index)]" caption="Date Received (Month Index)" attribute="1" defaultMemberUniqueName="[Income_Tracker_Table].[Date Received (Month Index)].[All]" allUniqueName="[Income_Tracker_Table].[Date Received (Month Index)].[All]" dimensionUniqueName="[Income_Tracker_Table]" displayFolder="" count="0" memberValueDatatype="20" unbalanced="0" hidden="1"/>
    <cacheHierarchy uniqueName="[Measures].[__XL_Count Income_Tracker_Table]" caption="__XL_Count Income_Tracker_Table" measure="1" displayFolder="" measureGroup="Income_Tracker_Table" count="0" hidden="1"/>
    <cacheHierarchy uniqueName="[Measures].[__XL_Count Expense_Tracker_Table]" caption="__XL_Count Expense_Tracker_Table" measure="1" displayFolder="" measureGroup="Expense_Tracker_Table" count="0" hidden="1"/>
    <cacheHierarchy uniqueName="[Measures].[__No measures defined]" caption="__No measures defined" measure="1" displayFolder="" count="0" hidden="1"/>
    <cacheHierarchy uniqueName="[Measures].[Sum of Amount Earned]" caption="Sum of Amount Earned" measure="1" displayFolder="" measureGroup="Income_Tracker_Table" count="0" hidden="1">
      <extLst>
        <ext xmlns:x15="http://schemas.microsoft.com/office/spreadsheetml/2010/11/main" uri="{B97F6D7D-B522-45F9-BDA1-12C45D357490}">
          <x15:cacheHierarchy aggregatedColumn="10"/>
        </ext>
      </extLst>
    </cacheHierarchy>
    <cacheHierarchy uniqueName="[Measures].[Count of Reason for Expenditure]" caption="Count of Reason for Expenditure" measure="1" displayFolder="" measureGroup="Expense_Tracker_Table" count="0" hidden="1">
      <extLst>
        <ext xmlns:x15="http://schemas.microsoft.com/office/spreadsheetml/2010/11/main" uri="{B97F6D7D-B522-45F9-BDA1-12C45D357490}">
          <x15:cacheHierarchy aggregatedColumn="4"/>
        </ext>
      </extLst>
    </cacheHierarchy>
    <cacheHierarchy uniqueName="[Measures].[Sum of Amount Spent]" caption="Sum of Amount Spent" measure="1" displayFolder="" measureGroup="Expense_Tracker_Tabl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397329444"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rry roberts" refreshedDate="44210.783700694446" backgroundQuery="1" createdVersion="3" refreshedVersion="6" minRefreshableVersion="3" recordCount="0" supportSubquery="1" supportAdvancedDrill="1" xr:uid="{61EE3E0D-D0DE-4E8B-9596-08BE935D2E72}">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Expense_Tracker_Table].[Person]" caption="Person" attribute="1" defaultMemberUniqueName="[Expense_Tracker_Table].[Person].[All]" allUniqueName="[Expense_Tracker_Table].[Person].[All]" dimensionUniqueName="[Expense_Tracker_Table]" displayFolder="" count="2" memberValueDatatype="130" unbalanced="0"/>
    <cacheHierarchy uniqueName="[Expense_Tracker_Table].[Source]" caption="Source" attribute="1" defaultMemberUniqueName="[Expense_Tracker_Table].[Source].[All]" allUniqueName="[Expense_Tracker_Table].[Source].[All]" dimensionUniqueName="[Expense_Tracker_Table]" displayFolder="" count="2" memberValueDatatype="130" unbalanced="0"/>
    <cacheHierarchy uniqueName="[Expense_Tracker_Table].[Amount Spent]" caption="Amount Spent" attribute="1" defaultMemberUniqueName="[Expense_Tracker_Table].[Amount Spent].[All]" allUniqueName="[Expense_Tracker_Table].[Amount Spent].[All]" dimensionUniqueName="[Expense_Tracker_Table]" displayFolder="" count="0" memberValueDatatype="20" unbalanced="0"/>
    <cacheHierarchy uniqueName="[Expense_Tracker_Table].[Expense Date]" caption="Expense Date" attribute="1" time="1" defaultMemberUniqueName="[Expense_Tracker_Table].[Expense Date].[All]" allUniqueName="[Expense_Tracker_Table].[Expense Date].[All]" dimensionUniqueName="[Expense_Tracker_Table]" displayFolder="" count="0" memberValueDatatype="7" unbalanced="0"/>
    <cacheHierarchy uniqueName="[Expense_Tracker_Table].[Reason for Expenditure]" caption="Reason for Expenditure" attribute="1" defaultMemberUniqueName="[Expense_Tracker_Table].[Reason for Expenditure].[All]" allUniqueName="[Expense_Tracker_Table].[Reason for Expenditure].[All]" dimensionUniqueName="[Expense_Tracker_Table]" displayFolder="" count="2" memberValueDatatype="130" unbalanced="0"/>
    <cacheHierarchy uniqueName="[Expense_Tracker_Table].[Expense Date (Year)]" caption="Expense Date (Year)" attribute="1" defaultMemberUniqueName="[Expense_Tracker_Table].[Expense Date (Year)].[All]" allUniqueName="[Expense_Tracker_Table].[Expense Date (Year)].[All]" dimensionUniqueName="[Expense_Tracker_Table]" displayFolder="" count="0" memberValueDatatype="130" unbalanced="0"/>
    <cacheHierarchy uniqueName="[Expense_Tracker_Table].[Expense Date (Quarter)]" caption="Expense Date (Quarter)" attribute="1" defaultMemberUniqueName="[Expense_Tracker_Table].[Expense Date (Quarter)].[All]" allUniqueName="[Expense_Tracker_Table].[Expense Date (Quarter)].[All]" dimensionUniqueName="[Expense_Tracker_Table]" displayFolder="" count="0" memberValueDatatype="130" unbalanced="0"/>
    <cacheHierarchy uniqueName="[Expense_Tracker_Table].[Expense Date (Month)]" caption="Expense Date (Month)" attribute="1" defaultMemberUniqueName="[Expense_Tracker_Table].[Expense Date (Month)].[All]" allUniqueName="[Expense_Tracker_Table].[Expense Date (Month)].[All]" dimensionUniqueName="[Expense_Tracker_Table]" displayFolder="" count="2" memberValueDatatype="130" unbalanced="0"/>
    <cacheHierarchy uniqueName="[Income_Tracker_Table].[Person]" caption="Person" attribute="1" defaultMemberUniqueName="[Income_Tracker_Table].[Person].[All]" allUniqueName="[Income_Tracker_Table].[Person].[All]" dimensionUniqueName="[Income_Tracker_Table]" displayFolder="" count="0" memberValueDatatype="130" unbalanced="0"/>
    <cacheHierarchy uniqueName="[Income_Tracker_Table].[Source of Income]" caption="Source of Income" attribute="1" defaultMemberUniqueName="[Income_Tracker_Table].[Source of Income].[All]" allUniqueName="[Income_Tracker_Table].[Source of Income].[All]" dimensionUniqueName="[Income_Tracker_Table]" displayFolder="" count="0" memberValueDatatype="130" unbalanced="0"/>
    <cacheHierarchy uniqueName="[Income_Tracker_Table].[Amount Earned]" caption="Amount Earned" attribute="1" defaultMemberUniqueName="[Income_Tracker_Table].[Amount Earned].[All]" allUniqueName="[Income_Tracker_Table].[Amount Earned].[All]" dimensionUniqueName="[Income_Tracker_Table]" displayFolder="" count="0" memberValueDatatype="20" unbalanced="0"/>
    <cacheHierarchy uniqueName="[Income_Tracker_Table].[Date Received]" caption="Date Received" attribute="1" time="1" defaultMemberUniqueName="[Income_Tracker_Table].[Date Received].[All]" allUniqueName="[Income_Tracker_Table].[Date Received].[All]" dimensionUniqueName="[Income_Tracker_Table]" displayFolder="" count="0" memberValueDatatype="7" unbalanced="0"/>
    <cacheHierarchy uniqueName="[Income_Tracker_Table].[Date Received (Year)]" caption="Date Received (Year)" attribute="1" defaultMemberUniqueName="[Income_Tracker_Table].[Date Received (Year)].[All]" allUniqueName="[Income_Tracker_Table].[Date Received (Year)].[All]" dimensionUniqueName="[Income_Tracker_Table]" displayFolder="" count="0" memberValueDatatype="130" unbalanced="0"/>
    <cacheHierarchy uniqueName="[Income_Tracker_Table].[Date Received (Quarter)]" caption="Date Received (Quarter)" attribute="1" defaultMemberUniqueName="[Income_Tracker_Table].[Date Received (Quarter)].[All]" allUniqueName="[Income_Tracker_Table].[Date Received (Quarter)].[All]" dimensionUniqueName="[Income_Tracker_Table]" displayFolder="" count="0" memberValueDatatype="130" unbalanced="0"/>
    <cacheHierarchy uniqueName="[Income_Tracker_Table].[Date Received (Month)]" caption="Date Received (Month)" attribute="1" defaultMemberUniqueName="[Income_Tracker_Table].[Date Received (Month)].[All]" allUniqueName="[Income_Tracker_Table].[Date Received (Month)].[All]" dimensionUniqueName="[Income_Tracker_Table]" displayFolder="" count="0" memberValueDatatype="130" unbalanced="0"/>
    <cacheHierarchy uniqueName="[Expense_Tracker_Table].[Expense Date (Month Index)]" caption="Expense Date (Month Index)" attribute="1" defaultMemberUniqueName="[Expense_Tracker_Table].[Expense Date (Month Index)].[All]" allUniqueName="[Expense_Tracker_Table].[Expense Date (Month Index)].[All]" dimensionUniqueName="[Expense_Tracker_Table]" displayFolder="" count="0" memberValueDatatype="20" unbalanced="0" hidden="1"/>
    <cacheHierarchy uniqueName="[Income_Tracker_Table].[Date Received (Month Index)]" caption="Date Received (Month Index)" attribute="1" defaultMemberUniqueName="[Income_Tracker_Table].[Date Received (Month Index)].[All]" allUniqueName="[Income_Tracker_Table].[Date Received (Month Index)].[All]" dimensionUniqueName="[Income_Tracker_Table]" displayFolder="" count="0" memberValueDatatype="20" unbalanced="0" hidden="1"/>
    <cacheHierarchy uniqueName="[Measures].[__XL_Count Income_Tracker_Table]" caption="__XL_Count Income_Tracker_Table" measure="1" displayFolder="" measureGroup="Income_Tracker_Table" count="0" hidden="1"/>
    <cacheHierarchy uniqueName="[Measures].[__XL_Count Expense_Tracker_Table]" caption="__XL_Count Expense_Tracker_Table" measure="1" displayFolder="" measureGroup="Expense_Tracker_Table" count="0" hidden="1"/>
    <cacheHierarchy uniqueName="[Measures].[__No measures defined]" caption="__No measures defined" measure="1" displayFolder="" count="0" hidden="1"/>
    <cacheHierarchy uniqueName="[Measures].[Sum of Amount Earned]" caption="Sum of Amount Earned" measure="1" displayFolder="" measureGroup="Income_Tracker_Table" count="0" hidden="1">
      <extLst>
        <ext xmlns:x15="http://schemas.microsoft.com/office/spreadsheetml/2010/11/main" uri="{B97F6D7D-B522-45F9-BDA1-12C45D357490}">
          <x15:cacheHierarchy aggregatedColumn="10"/>
        </ext>
      </extLst>
    </cacheHierarchy>
    <cacheHierarchy uniqueName="[Measures].[Count of Reason for Expenditure]" caption="Count of Reason for Expenditure" measure="1" displayFolder="" measureGroup="Expense_Tracker_Table" count="0" hidden="1">
      <extLst>
        <ext xmlns:x15="http://schemas.microsoft.com/office/spreadsheetml/2010/11/main" uri="{B97F6D7D-B522-45F9-BDA1-12C45D357490}">
          <x15:cacheHierarchy aggregatedColumn="4"/>
        </ext>
      </extLst>
    </cacheHierarchy>
    <cacheHierarchy uniqueName="[Measures].[Sum of Amount Spent]" caption="Sum of Amount Spent" measure="1" displayFolder="" measureGroup="Expense_Tracker_Tabl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1112746158"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rry roberts" refreshedDate="44210.764638078705" backgroundQuery="1" createdVersion="3" refreshedVersion="6" minRefreshableVersion="3" recordCount="0" supportSubquery="1" supportAdvancedDrill="1" xr:uid="{050D4EE5-BF7B-4A58-A567-914D117F24A8}">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Expense_Tracker_Table].[Person]" caption="Person" attribute="1" defaultMemberUniqueName="[Expense_Tracker_Table].[Person].[All]" allUniqueName="[Expense_Tracker_Table].[Person].[All]" dimensionUniqueName="[Expense_Tracker_Table]" displayFolder="" count="0" memberValueDatatype="130" unbalanced="0"/>
    <cacheHierarchy uniqueName="[Expense_Tracker_Table].[Source]" caption="Source" attribute="1" defaultMemberUniqueName="[Expense_Tracker_Table].[Source].[All]" allUniqueName="[Expense_Tracker_Table].[Source].[All]" dimensionUniqueName="[Expense_Tracker_Table]" displayFolder="" count="0" memberValueDatatype="130" unbalanced="0"/>
    <cacheHierarchy uniqueName="[Expense_Tracker_Table].[Amount Spent]" caption="Amount Spent" attribute="1" defaultMemberUniqueName="[Expense_Tracker_Table].[Amount Spent].[All]" allUniqueName="[Expense_Tracker_Table].[Amount Spent].[All]" dimensionUniqueName="[Expense_Tracker_Table]" displayFolder="" count="0" memberValueDatatype="20" unbalanced="0"/>
    <cacheHierarchy uniqueName="[Expense_Tracker_Table].[Expense Date]" caption="Expense Date" attribute="1" time="1" defaultMemberUniqueName="[Expense_Tracker_Table].[Expense Date].[All]" allUniqueName="[Expense_Tracker_Table].[Expense Date].[All]" dimensionUniqueName="[Expense_Tracker_Table]" displayFolder="" count="0" memberValueDatatype="7" unbalanced="0"/>
    <cacheHierarchy uniqueName="[Expense_Tracker_Table].[Reason for Expenditure]" caption="Reason for Expenditure" attribute="1" defaultMemberUniqueName="[Expense_Tracker_Table].[Reason for Expenditure].[All]" allUniqueName="[Expense_Tracker_Table].[Reason for Expenditure].[All]" dimensionUniqueName="[Expense_Tracker_Table]" displayFolder="" count="0" memberValueDatatype="130" unbalanced="0"/>
    <cacheHierarchy uniqueName="[Expense_Tracker_Table].[Expense Date (Year)]" caption="Expense Date (Year)" attribute="1" defaultMemberUniqueName="[Expense_Tracker_Table].[Expense Date (Year)].[All]" allUniqueName="[Expense_Tracker_Table].[Expense Date (Year)].[All]" dimensionUniqueName="[Expense_Tracker_Table]" displayFolder="" count="0" memberValueDatatype="130" unbalanced="0"/>
    <cacheHierarchy uniqueName="[Expense_Tracker_Table].[Expense Date (Quarter)]" caption="Expense Date (Quarter)" attribute="1" defaultMemberUniqueName="[Expense_Tracker_Table].[Expense Date (Quarter)].[All]" allUniqueName="[Expense_Tracker_Table].[Expense Date (Quarter)].[All]" dimensionUniqueName="[Expense_Tracker_Table]" displayFolder="" count="0" memberValueDatatype="130" unbalanced="0"/>
    <cacheHierarchy uniqueName="[Expense_Tracker_Table].[Expense Date (Month)]" caption="Expense Date (Month)" attribute="1" defaultMemberUniqueName="[Expense_Tracker_Table].[Expense Date (Month)].[All]" allUniqueName="[Expense_Tracker_Table].[Expense Date (Month)].[All]" dimensionUniqueName="[Expense_Tracker_Table]" displayFolder="" count="0" memberValueDatatype="130" unbalanced="0"/>
    <cacheHierarchy uniqueName="[Income_Tracker_Table].[Person]" caption="Person" attribute="1" defaultMemberUniqueName="[Income_Tracker_Table].[Person].[All]" allUniqueName="[Income_Tracker_Table].[Person].[All]" dimensionUniqueName="[Income_Tracker_Table]" displayFolder="" count="0" memberValueDatatype="130" unbalanced="0"/>
    <cacheHierarchy uniqueName="[Income_Tracker_Table].[Source of Income]" caption="Source of Income" attribute="1" defaultMemberUniqueName="[Income_Tracker_Table].[Source of Income].[All]" allUniqueName="[Income_Tracker_Table].[Source of Income].[All]" dimensionUniqueName="[Income_Tracker_Table]" displayFolder="" count="0" memberValueDatatype="130" unbalanced="0"/>
    <cacheHierarchy uniqueName="[Income_Tracker_Table].[Amount Earned]" caption="Amount Earned" attribute="1" defaultMemberUniqueName="[Income_Tracker_Table].[Amount Earned].[All]" allUniqueName="[Income_Tracker_Table].[Amount Earned].[All]" dimensionUniqueName="[Income_Tracker_Table]" displayFolder="" count="0" memberValueDatatype="20" unbalanced="0"/>
    <cacheHierarchy uniqueName="[Income_Tracker_Table].[Date Received]" caption="Date Received" attribute="1" time="1" defaultMemberUniqueName="[Income_Tracker_Table].[Date Received].[All]" allUniqueName="[Income_Tracker_Table].[Date Received].[All]" dimensionUniqueName="[Income_Tracker_Table]" displayFolder="" count="2" memberValueDatatype="7" unbalanced="0"/>
    <cacheHierarchy uniqueName="[Income_Tracker_Table].[Date Received (Year)]" caption="Date Received (Year)" attribute="1" defaultMemberUniqueName="[Income_Tracker_Table].[Date Received (Year)].[All]" allUniqueName="[Income_Tracker_Table].[Date Received (Year)].[All]" dimensionUniqueName="[Income_Tracker_Table]" displayFolder="" count="0" memberValueDatatype="130" unbalanced="0"/>
    <cacheHierarchy uniqueName="[Income_Tracker_Table].[Date Received (Quarter)]" caption="Date Received (Quarter)" attribute="1" defaultMemberUniqueName="[Income_Tracker_Table].[Date Received (Quarter)].[All]" allUniqueName="[Income_Tracker_Table].[Date Received (Quarter)].[All]" dimensionUniqueName="[Income_Tracker_Table]" displayFolder="" count="0" memberValueDatatype="130" unbalanced="0"/>
    <cacheHierarchy uniqueName="[Income_Tracker_Table].[Date Received (Month)]" caption="Date Received (Month)" attribute="1" defaultMemberUniqueName="[Income_Tracker_Table].[Date Received (Month)].[All]" allUniqueName="[Income_Tracker_Table].[Date Received (Month)].[All]" dimensionUniqueName="[Income_Tracker_Table]" displayFolder="" count="0" memberValueDatatype="130" unbalanced="0"/>
    <cacheHierarchy uniqueName="[Expense_Tracker_Table].[Expense Date (Month Index)]" caption="Expense Date (Month Index)" attribute="1" defaultMemberUniqueName="[Expense_Tracker_Table].[Expense Date (Month Index)].[All]" allUniqueName="[Expense_Tracker_Table].[Expense Date (Month Index)].[All]" dimensionUniqueName="[Expense_Tracker_Table]" displayFolder="" count="0" memberValueDatatype="20" unbalanced="0" hidden="1"/>
    <cacheHierarchy uniqueName="[Income_Tracker_Table].[Date Received (Month Index)]" caption="Date Received (Month Index)" attribute="1" defaultMemberUniqueName="[Income_Tracker_Table].[Date Received (Month Index)].[All]" allUniqueName="[Income_Tracker_Table].[Date Received (Month Index)].[All]" dimensionUniqueName="[Income_Tracker_Table]" displayFolder="" count="0" memberValueDatatype="20" unbalanced="0" hidden="1"/>
    <cacheHierarchy uniqueName="[Measures].[__XL_Count Income_Tracker_Table]" caption="__XL_Count Income_Tracker_Table" measure="1" displayFolder="" measureGroup="Income_Tracker_Table" count="0" hidden="1"/>
    <cacheHierarchy uniqueName="[Measures].[__XL_Count Expense_Tracker_Table]" caption="__XL_Count Expense_Tracker_Table" measure="1" displayFolder="" measureGroup="Expense_Tracker_Table" count="0" hidden="1"/>
    <cacheHierarchy uniqueName="[Measures].[__No measures defined]" caption="__No measures defined" measure="1" displayFolder="" count="0" hidden="1"/>
    <cacheHierarchy uniqueName="[Measures].[Sum of Amount Earned]" caption="Sum of Amount Earned" measure="1" displayFolder="" measureGroup="Income_Tracker_Table" count="0" hidden="1">
      <extLst>
        <ext xmlns:x15="http://schemas.microsoft.com/office/spreadsheetml/2010/11/main" uri="{B97F6D7D-B522-45F9-BDA1-12C45D357490}">
          <x15:cacheHierarchy aggregatedColumn="10"/>
        </ext>
      </extLst>
    </cacheHierarchy>
    <cacheHierarchy uniqueName="[Measures].[Count of Reason for Expenditure]" caption="Count of Reason for Expenditure" measure="1" displayFolder="" measureGroup="Expense_Tracker_Table" count="0" hidden="1">
      <extLst>
        <ext xmlns:x15="http://schemas.microsoft.com/office/spreadsheetml/2010/11/main" uri="{B97F6D7D-B522-45F9-BDA1-12C45D357490}">
          <x15:cacheHierarchy aggregatedColumn="4"/>
        </ext>
      </extLst>
    </cacheHierarchy>
    <cacheHierarchy uniqueName="[Measures].[Sum of Amount Spent]" caption="Sum of Amount Spent" measure="1" displayFolder="" measureGroup="Expense_Tracker_Tabl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pivotCacheId="127313345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rry roberts" refreshedDate="44210.783701851855" backgroundQuery="1" createdVersion="3" refreshedVersion="6" minRefreshableVersion="3" recordCount="0" supportSubquery="1" supportAdvancedDrill="1" xr:uid="{D6B7B927-A335-46FB-9889-A1065A0C4BD4}">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Expense_Tracker_Table].[Person]" caption="Person" attribute="1" defaultMemberUniqueName="[Expense_Tracker_Table].[Person].[All]" allUniqueName="[Expense_Tracker_Table].[Person].[All]" dimensionUniqueName="[Expense_Tracker_Table]" displayFolder="" count="0" memberValueDatatype="130" unbalanced="0"/>
    <cacheHierarchy uniqueName="[Expense_Tracker_Table].[Source]" caption="Source" attribute="1" defaultMemberUniqueName="[Expense_Tracker_Table].[Source].[All]" allUniqueName="[Expense_Tracker_Table].[Source].[All]" dimensionUniqueName="[Expense_Tracker_Table]" displayFolder="" count="0" memberValueDatatype="130" unbalanced="0"/>
    <cacheHierarchy uniqueName="[Expense_Tracker_Table].[Amount Spent]" caption="Amount Spent" attribute="1" defaultMemberUniqueName="[Expense_Tracker_Table].[Amount Spent].[All]" allUniqueName="[Expense_Tracker_Table].[Amount Spent].[All]" dimensionUniqueName="[Expense_Tracker_Table]" displayFolder="" count="0" memberValueDatatype="20" unbalanced="0"/>
    <cacheHierarchy uniqueName="[Expense_Tracker_Table].[Expense Date]" caption="Expense Date" attribute="1" time="1" defaultMemberUniqueName="[Expense_Tracker_Table].[Expense Date].[All]" allUniqueName="[Expense_Tracker_Table].[Expense Date].[All]" dimensionUniqueName="[Expense_Tracker_Table]" displayFolder="" count="2" memberValueDatatype="7" unbalanced="0"/>
    <cacheHierarchy uniqueName="[Expense_Tracker_Table].[Reason for Expenditure]" caption="Reason for Expenditure" attribute="1" defaultMemberUniqueName="[Expense_Tracker_Table].[Reason for Expenditure].[All]" allUniqueName="[Expense_Tracker_Table].[Reason for Expenditure].[All]" dimensionUniqueName="[Expense_Tracker_Table]" displayFolder="" count="0" memberValueDatatype="130" unbalanced="0"/>
    <cacheHierarchy uniqueName="[Expense_Tracker_Table].[Expense Date (Year)]" caption="Expense Date (Year)" attribute="1" defaultMemberUniqueName="[Expense_Tracker_Table].[Expense Date (Year)].[All]" allUniqueName="[Expense_Tracker_Table].[Expense Date (Year)].[All]" dimensionUniqueName="[Expense_Tracker_Table]" displayFolder="" count="0" memberValueDatatype="130" unbalanced="0"/>
    <cacheHierarchy uniqueName="[Expense_Tracker_Table].[Expense Date (Quarter)]" caption="Expense Date (Quarter)" attribute="1" defaultMemberUniqueName="[Expense_Tracker_Table].[Expense Date (Quarter)].[All]" allUniqueName="[Expense_Tracker_Table].[Expense Date (Quarter)].[All]" dimensionUniqueName="[Expense_Tracker_Table]" displayFolder="" count="0" memberValueDatatype="130" unbalanced="0"/>
    <cacheHierarchy uniqueName="[Expense_Tracker_Table].[Expense Date (Month)]" caption="Expense Date (Month)" attribute="1" defaultMemberUniqueName="[Expense_Tracker_Table].[Expense Date (Month)].[All]" allUniqueName="[Expense_Tracker_Table].[Expense Date (Month)].[All]" dimensionUniqueName="[Expense_Tracker_Table]" displayFolder="" count="0" memberValueDatatype="130" unbalanced="0"/>
    <cacheHierarchy uniqueName="[Income_Tracker_Table].[Person]" caption="Person" attribute="1" defaultMemberUniqueName="[Income_Tracker_Table].[Person].[All]" allUniqueName="[Income_Tracker_Table].[Person].[All]" dimensionUniqueName="[Income_Tracker_Table]" displayFolder="" count="0" memberValueDatatype="130" unbalanced="0"/>
    <cacheHierarchy uniqueName="[Income_Tracker_Table].[Source of Income]" caption="Source of Income" attribute="1" defaultMemberUniqueName="[Income_Tracker_Table].[Source of Income].[All]" allUniqueName="[Income_Tracker_Table].[Source of Income].[All]" dimensionUniqueName="[Income_Tracker_Table]" displayFolder="" count="0" memberValueDatatype="130" unbalanced="0"/>
    <cacheHierarchy uniqueName="[Income_Tracker_Table].[Amount Earned]" caption="Amount Earned" attribute="1" defaultMemberUniqueName="[Income_Tracker_Table].[Amount Earned].[All]" allUniqueName="[Income_Tracker_Table].[Amount Earned].[All]" dimensionUniqueName="[Income_Tracker_Table]" displayFolder="" count="0" memberValueDatatype="20" unbalanced="0"/>
    <cacheHierarchy uniqueName="[Income_Tracker_Table].[Date Received]" caption="Date Received" attribute="1" time="1" defaultMemberUniqueName="[Income_Tracker_Table].[Date Received].[All]" allUniqueName="[Income_Tracker_Table].[Date Received].[All]" dimensionUniqueName="[Income_Tracker_Table]" displayFolder="" count="0" memberValueDatatype="7" unbalanced="0"/>
    <cacheHierarchy uniqueName="[Income_Tracker_Table].[Date Received (Year)]" caption="Date Received (Year)" attribute="1" defaultMemberUniqueName="[Income_Tracker_Table].[Date Received (Year)].[All]" allUniqueName="[Income_Tracker_Table].[Date Received (Year)].[All]" dimensionUniqueName="[Income_Tracker_Table]" displayFolder="" count="0" memberValueDatatype="130" unbalanced="0"/>
    <cacheHierarchy uniqueName="[Income_Tracker_Table].[Date Received (Quarter)]" caption="Date Received (Quarter)" attribute="1" defaultMemberUniqueName="[Income_Tracker_Table].[Date Received (Quarter)].[All]" allUniqueName="[Income_Tracker_Table].[Date Received (Quarter)].[All]" dimensionUniqueName="[Income_Tracker_Table]" displayFolder="" count="0" memberValueDatatype="130" unbalanced="0"/>
    <cacheHierarchy uniqueName="[Income_Tracker_Table].[Date Received (Month)]" caption="Date Received (Month)" attribute="1" defaultMemberUniqueName="[Income_Tracker_Table].[Date Received (Month)].[All]" allUniqueName="[Income_Tracker_Table].[Date Received (Month)].[All]" dimensionUniqueName="[Income_Tracker_Table]" displayFolder="" count="0" memberValueDatatype="130" unbalanced="0"/>
    <cacheHierarchy uniqueName="[Expense_Tracker_Table].[Expense Date (Month Index)]" caption="Expense Date (Month Index)" attribute="1" defaultMemberUniqueName="[Expense_Tracker_Table].[Expense Date (Month Index)].[All]" allUniqueName="[Expense_Tracker_Table].[Expense Date (Month Index)].[All]" dimensionUniqueName="[Expense_Tracker_Table]" displayFolder="" count="0" memberValueDatatype="20" unbalanced="0" hidden="1"/>
    <cacheHierarchy uniqueName="[Income_Tracker_Table].[Date Received (Month Index)]" caption="Date Received (Month Index)" attribute="1" defaultMemberUniqueName="[Income_Tracker_Table].[Date Received (Month Index)].[All]" allUniqueName="[Income_Tracker_Table].[Date Received (Month Index)].[All]" dimensionUniqueName="[Income_Tracker_Table]" displayFolder="" count="0" memberValueDatatype="20" unbalanced="0" hidden="1"/>
    <cacheHierarchy uniqueName="[Measures].[__XL_Count Income_Tracker_Table]" caption="__XL_Count Income_Tracker_Table" measure="1" displayFolder="" measureGroup="Income_Tracker_Table" count="0" hidden="1"/>
    <cacheHierarchy uniqueName="[Measures].[__XL_Count Expense_Tracker_Table]" caption="__XL_Count Expense_Tracker_Table" measure="1" displayFolder="" measureGroup="Expense_Tracker_Table" count="0" hidden="1"/>
    <cacheHierarchy uniqueName="[Measures].[__No measures defined]" caption="__No measures defined" measure="1" displayFolder="" count="0" hidden="1"/>
    <cacheHierarchy uniqueName="[Measures].[Sum of Amount Earned]" caption="Sum of Amount Earned" measure="1" displayFolder="" measureGroup="Income_Tracker_Table" count="0" hidden="1">
      <extLst>
        <ext xmlns:x15="http://schemas.microsoft.com/office/spreadsheetml/2010/11/main" uri="{B97F6D7D-B522-45F9-BDA1-12C45D357490}">
          <x15:cacheHierarchy aggregatedColumn="10"/>
        </ext>
      </extLst>
    </cacheHierarchy>
    <cacheHierarchy uniqueName="[Measures].[Count of Reason for Expenditure]" caption="Count of Reason for Expenditure" measure="1" displayFolder="" measureGroup="Expense_Tracker_Table" count="0" hidden="1">
      <extLst>
        <ext xmlns:x15="http://schemas.microsoft.com/office/spreadsheetml/2010/11/main" uri="{B97F6D7D-B522-45F9-BDA1-12C45D357490}">
          <x15:cacheHierarchy aggregatedColumn="4"/>
        </ext>
      </extLst>
    </cacheHierarchy>
    <cacheHierarchy uniqueName="[Measures].[Sum of Amount Spent]" caption="Sum of Amount Spent" measure="1" displayFolder="" measureGroup="Expense_Tracker_Tabl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pivotCacheId="117942309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Matt"/>
    <s v="Debit Card"/>
    <n v="20"/>
    <d v="2019-01-01T00:00:00"/>
    <x v="0"/>
  </r>
  <r>
    <s v="Emma"/>
    <s v="Withdraw Cash"/>
    <n v="30"/>
    <d v="2019-01-05T00:00:00"/>
    <x v="1"/>
  </r>
  <r>
    <s v="Matt"/>
    <s v="Debit Card"/>
    <n v="5000"/>
    <d v="2019-01-17T00:00:00"/>
    <x v="2"/>
  </r>
  <r>
    <s v="Emma"/>
    <s v="Debit Card"/>
    <n v="1200"/>
    <d v="2019-01-31T00:00:00"/>
    <x v="3"/>
  </r>
  <r>
    <s v="Emma"/>
    <s v="Debit Card"/>
    <n v="500"/>
    <d v="2019-01-31T00:00:00"/>
    <x v="4"/>
  </r>
  <r>
    <s v="Emma"/>
    <s v="Debit Card"/>
    <n v="1000"/>
    <d v="2019-01-31T00:00:00"/>
    <x v="5"/>
  </r>
  <r>
    <s v="Matt"/>
    <s v="Withdraw Cash"/>
    <n v="40"/>
    <d v="2019-02-14T00:00:00"/>
    <x v="6"/>
  </r>
  <r>
    <s v="Emma"/>
    <s v="Debit Card"/>
    <n v="1200"/>
    <d v="2019-02-28T00:00:00"/>
    <x v="3"/>
  </r>
  <r>
    <s v="Emma"/>
    <s v="Debit Card"/>
    <n v="500"/>
    <d v="2019-02-28T00:00:00"/>
    <x v="4"/>
  </r>
  <r>
    <s v="Emma"/>
    <s v="Debit Card"/>
    <n v="1000"/>
    <d v="2019-02-28T00:00:00"/>
    <x v="5"/>
  </r>
  <r>
    <s v="Matt"/>
    <s v="Debit Card"/>
    <n v="300"/>
    <d v="2019-03-03T00:00:00"/>
    <x v="7"/>
  </r>
  <r>
    <s v="Matt"/>
    <s v="Debit Card"/>
    <n v="500"/>
    <d v="2019-03-11T00:00:00"/>
    <x v="8"/>
  </r>
  <r>
    <s v="Matt"/>
    <s v="Withdraw Cash"/>
    <n v="100"/>
    <d v="2019-03-27T00:00:00"/>
    <x v="1"/>
  </r>
  <r>
    <s v="Emma"/>
    <s v="Debit Card"/>
    <n v="1200"/>
    <d v="2019-03-31T00:00:00"/>
    <x v="3"/>
  </r>
  <r>
    <s v="Emma"/>
    <s v="Debit Card"/>
    <n v="500"/>
    <d v="2019-03-31T00:00:00"/>
    <x v="4"/>
  </r>
  <r>
    <s v="Emma"/>
    <s v="Debit Card"/>
    <n v="1000"/>
    <d v="2019-03-31T00:00:00"/>
    <x v="5"/>
  </r>
  <r>
    <s v="Matt"/>
    <s v="Debit Card"/>
    <n v="400"/>
    <d v="2019-03-31T00:00:00"/>
    <x v="9"/>
  </r>
  <r>
    <s v="Emma"/>
    <s v="Debit Card"/>
    <n v="1200"/>
    <d v="2019-04-30T00:00:00"/>
    <x v="3"/>
  </r>
  <r>
    <s v="Emma"/>
    <s v="Debit Card"/>
    <n v="1200"/>
    <d v="2019-04-01T00:00:00"/>
    <x v="3"/>
  </r>
  <r>
    <s v="Emma"/>
    <s v="Debit Card"/>
    <n v="10000"/>
    <d v="2025-01-01T00: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DA7551-3519-4D3F-8E92-C4741CDDA372}" name="PivotTable1" cacheId="75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
  <location ref="B20:E29" firstHeaderRow="1" firstDataRow="2" firstDataCol="1"/>
  <pivotFields count="4">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4">
        <item x="0"/>
        <item x="1"/>
        <item x="2"/>
        <item x="3"/>
      </items>
    </pivotField>
    <pivotField axis="axisRow" allDrilled="1" subtotalTop="0" showAll="0" dataSourceSort="1" defaultSubtotal="0">
      <items count="2">
        <item x="0"/>
        <item x="1"/>
      </items>
    </pivotField>
  </pivotFields>
  <rowFields count="2">
    <field x="3"/>
    <field x="2"/>
  </rowFields>
  <rowItems count="8">
    <i>
      <x/>
    </i>
    <i r="1">
      <x/>
    </i>
    <i r="1">
      <x v="1"/>
    </i>
    <i r="1">
      <x v="2"/>
    </i>
    <i r="1">
      <x v="3"/>
    </i>
    <i>
      <x v="1"/>
    </i>
    <i r="1">
      <x/>
    </i>
    <i t="grand">
      <x/>
    </i>
  </rowItems>
  <colFields count="1">
    <field x="0"/>
  </colFields>
  <colItems count="3">
    <i>
      <x/>
    </i>
    <i>
      <x v="1"/>
    </i>
    <i t="grand">
      <x/>
    </i>
  </colItems>
  <dataFields count="1">
    <dataField name="Sum of Amount Earned" fld="1" baseField="0" baseItem="0"/>
  </dataFields>
  <chartFormats count="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Custom Green Pivot Table" showRowHeaders="1" showColHeaders="1" showRowStripes="0" showColStripes="0" showLastColumn="1"/>
  <rowHierarchiesUsage count="2">
    <rowHierarchyUsage hierarchyUsage="12"/>
    <rowHierarchyUsage hierarchyUsage="14"/>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SM 120 Financial Planner Final Verson - Larry Roberts.xlsm!Income_Tracker_Table">
        <x15:activeTabTopLevelEntity name="[Income_Track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857E44-3ABE-45ED-AF45-8F000402D8FE}" name="PivotTable2" cacheId="797"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2">
  <location ref="B20:E27" firstHeaderRow="1" firstDataRow="2" firstDataCol="1"/>
  <pivotFields count="6">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items count="1">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2"/>
    <field x="1"/>
  </rowFields>
  <rowItems count="6">
    <i>
      <x/>
    </i>
    <i r="1">
      <x/>
    </i>
    <i r="1">
      <x v="1"/>
    </i>
    <i r="1">
      <x v="2"/>
    </i>
    <i r="1">
      <x v="3"/>
    </i>
    <i t="grand">
      <x/>
    </i>
  </rowItems>
  <colFields count="1">
    <field x="0"/>
  </colFields>
  <colItems count="3">
    <i>
      <x/>
    </i>
    <i>
      <x v="1"/>
    </i>
    <i t="grand">
      <x/>
    </i>
  </colItems>
  <dataFields count="1">
    <dataField name="Sum of Amount Spent" fld="3" baseField="0" baseItem="0"/>
  </dataFields>
  <chartFormats count="2">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s>
  <pivotHierarchies count="23">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Table Style 1" showRowHeaders="1" showColHeaders="1" showRowStripes="0" showColStripes="0" showLastColumn="1"/>
  <rowHierarchiesUsage count="2">
    <rowHierarchyUsage hierarchyUsage="5"/>
    <rowHierarchyUsage hierarchyUsage="7"/>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SM 120 Financial Planner Final Verson - Larry Roberts.xlsm!Expense_Tracker_Table">
        <x15:activeTabTopLevelEntity name="[Expense_Track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E5CC8C-0322-4483-9671-7C88BD6C4325}" name="PivotTable7" cacheId="7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G32:H43" firstHeaderRow="1" firstDataRow="1" firstDataCol="1"/>
  <pivotFields count="5">
    <pivotField showAll="0"/>
    <pivotField showAll="0"/>
    <pivotField dataField="1" numFmtId="44" showAll="0"/>
    <pivotField numFmtId="164" showAll="0"/>
    <pivotField axis="axisRow" showAll="0">
      <items count="13">
        <item m="1" x="11"/>
        <item x="8"/>
        <item x="1"/>
        <item x="6"/>
        <item x="7"/>
        <item x="5"/>
        <item x="0"/>
        <item x="3"/>
        <item x="4"/>
        <item x="2"/>
        <item x="9"/>
        <item m="1" x="10"/>
        <item t="default"/>
      </items>
    </pivotField>
  </pivotFields>
  <rowFields count="1">
    <field x="4"/>
  </rowFields>
  <rowItems count="11">
    <i>
      <x v="1"/>
    </i>
    <i>
      <x v="2"/>
    </i>
    <i>
      <x v="3"/>
    </i>
    <i>
      <x v="4"/>
    </i>
    <i>
      <x v="5"/>
    </i>
    <i>
      <x v="6"/>
    </i>
    <i>
      <x v="7"/>
    </i>
    <i>
      <x v="8"/>
    </i>
    <i>
      <x v="9"/>
    </i>
    <i>
      <x v="10"/>
    </i>
    <i t="grand">
      <x/>
    </i>
  </rowItems>
  <colItems count="1">
    <i/>
  </colItems>
  <dataFields count="1">
    <dataField name="% of Total Spending" fld="2" showDataAs="percentOfTotal" baseField="4" baseItem="0" numFmtId="10"/>
  </dataFields>
  <chartFormats count="22">
    <chartFormat chart="0" format="0"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4" count="1" selected="0">
            <x v="1"/>
          </reference>
        </references>
      </pivotArea>
    </chartFormat>
    <chartFormat chart="0" format="4">
      <pivotArea type="data" outline="0" fieldPosition="0">
        <references count="2">
          <reference field="4294967294" count="1" selected="0">
            <x v="0"/>
          </reference>
          <reference field="4" count="1" selected="0">
            <x v="2"/>
          </reference>
        </references>
      </pivotArea>
    </chartFormat>
    <chartFormat chart="0" format="5">
      <pivotArea type="data" outline="0" fieldPosition="0">
        <references count="2">
          <reference field="4294967294" count="1" selected="0">
            <x v="0"/>
          </reference>
          <reference field="4" count="1" selected="0">
            <x v="3"/>
          </reference>
        </references>
      </pivotArea>
    </chartFormat>
    <chartFormat chart="0" format="6">
      <pivotArea type="data" outline="0" fieldPosition="0">
        <references count="2">
          <reference field="4294967294" count="1" selected="0">
            <x v="0"/>
          </reference>
          <reference field="4" count="1" selected="0">
            <x v="4"/>
          </reference>
        </references>
      </pivotArea>
    </chartFormat>
    <chartFormat chart="0" format="7">
      <pivotArea type="data" outline="0" fieldPosition="0">
        <references count="2">
          <reference field="4294967294" count="1" selected="0">
            <x v="0"/>
          </reference>
          <reference field="4" count="1" selected="0">
            <x v="5"/>
          </reference>
        </references>
      </pivotArea>
    </chartFormat>
    <chartFormat chart="0" format="8">
      <pivotArea type="data" outline="0" fieldPosition="0">
        <references count="2">
          <reference field="4294967294" count="1" selected="0">
            <x v="0"/>
          </reference>
          <reference field="4" count="1" selected="0">
            <x v="6"/>
          </reference>
        </references>
      </pivotArea>
    </chartFormat>
    <chartFormat chart="0" format="9">
      <pivotArea type="data" outline="0" fieldPosition="0">
        <references count="2">
          <reference field="4294967294" count="1" selected="0">
            <x v="0"/>
          </reference>
          <reference field="4" count="1" selected="0">
            <x v="7"/>
          </reference>
        </references>
      </pivotArea>
    </chartFormat>
    <chartFormat chart="0" format="10">
      <pivotArea type="data" outline="0" fieldPosition="0">
        <references count="2">
          <reference field="4294967294" count="1" selected="0">
            <x v="0"/>
          </reference>
          <reference field="4" count="1" selected="0">
            <x v="8"/>
          </reference>
        </references>
      </pivotArea>
    </chartFormat>
    <chartFormat chart="0" format="11">
      <pivotArea type="data" outline="0" fieldPosition="0">
        <references count="2">
          <reference field="4294967294" count="1" selected="0">
            <x v="0"/>
          </reference>
          <reference field="4" count="1" selected="0">
            <x v="9"/>
          </reference>
        </references>
      </pivotArea>
    </chartFormat>
    <chartFormat chart="0" format="12">
      <pivotArea type="data" outline="0" fieldPosition="0">
        <references count="2">
          <reference field="4294967294" count="1" selected="0">
            <x v="0"/>
          </reference>
          <reference field="4" count="1" selected="0">
            <x v="10"/>
          </reference>
        </references>
      </pivotArea>
    </chartFormat>
    <chartFormat chart="1" format="13" series="1">
      <pivotArea type="data" outline="0" fieldPosition="0">
        <references count="1">
          <reference field="4294967294" count="1" selected="0">
            <x v="0"/>
          </reference>
        </references>
      </pivotArea>
    </chartFormat>
    <chartFormat chart="1" format="14">
      <pivotArea type="data" outline="0" fieldPosition="0">
        <references count="2">
          <reference field="4294967294" count="1" selected="0">
            <x v="0"/>
          </reference>
          <reference field="4" count="1" selected="0">
            <x v="1"/>
          </reference>
        </references>
      </pivotArea>
    </chartFormat>
    <chartFormat chart="1" format="15">
      <pivotArea type="data" outline="0" fieldPosition="0">
        <references count="2">
          <reference field="4294967294" count="1" selected="0">
            <x v="0"/>
          </reference>
          <reference field="4" count="1" selected="0">
            <x v="2"/>
          </reference>
        </references>
      </pivotArea>
    </chartFormat>
    <chartFormat chart="1" format="16">
      <pivotArea type="data" outline="0" fieldPosition="0">
        <references count="2">
          <reference field="4294967294" count="1" selected="0">
            <x v="0"/>
          </reference>
          <reference field="4" count="1" selected="0">
            <x v="3"/>
          </reference>
        </references>
      </pivotArea>
    </chartFormat>
    <chartFormat chart="1" format="17">
      <pivotArea type="data" outline="0" fieldPosition="0">
        <references count="2">
          <reference field="4294967294" count="1" selected="0">
            <x v="0"/>
          </reference>
          <reference field="4" count="1" selected="0">
            <x v="4"/>
          </reference>
        </references>
      </pivotArea>
    </chartFormat>
    <chartFormat chart="1" format="18">
      <pivotArea type="data" outline="0" fieldPosition="0">
        <references count="2">
          <reference field="4294967294" count="1" selected="0">
            <x v="0"/>
          </reference>
          <reference field="4" count="1" selected="0">
            <x v="5"/>
          </reference>
        </references>
      </pivotArea>
    </chartFormat>
    <chartFormat chart="1" format="19">
      <pivotArea type="data" outline="0" fieldPosition="0">
        <references count="2">
          <reference field="4294967294" count="1" selected="0">
            <x v="0"/>
          </reference>
          <reference field="4" count="1" selected="0">
            <x v="6"/>
          </reference>
        </references>
      </pivotArea>
    </chartFormat>
    <chartFormat chart="1" format="20">
      <pivotArea type="data" outline="0" fieldPosition="0">
        <references count="2">
          <reference field="4294967294" count="1" selected="0">
            <x v="0"/>
          </reference>
          <reference field="4" count="1" selected="0">
            <x v="7"/>
          </reference>
        </references>
      </pivotArea>
    </chartFormat>
    <chartFormat chart="1" format="21">
      <pivotArea type="data" outline="0" fieldPosition="0">
        <references count="2">
          <reference field="4294967294" count="1" selected="0">
            <x v="0"/>
          </reference>
          <reference field="4" count="1" selected="0">
            <x v="8"/>
          </reference>
        </references>
      </pivotArea>
    </chartFormat>
    <chartFormat chart="1" format="22">
      <pivotArea type="data" outline="0" fieldPosition="0">
        <references count="2">
          <reference field="4294967294" count="1" selected="0">
            <x v="0"/>
          </reference>
          <reference field="4" count="1" selected="0">
            <x v="9"/>
          </reference>
        </references>
      </pivotArea>
    </chartFormat>
    <chartFormat chart="1" format="23">
      <pivotArea type="data" outline="0" fieldPosition="0">
        <references count="2">
          <reference field="4294967294" count="1" selected="0">
            <x v="0"/>
          </reference>
          <reference field="4" count="1" selected="0">
            <x v="1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son" xr10:uid="{43B9608B-D31A-4503-A423-456C50282BAD}" sourceName="[Income_Tracker_Table].[Person]">
  <pivotTables>
    <pivotTable tabId="6" name="PivotTable1"/>
  </pivotTables>
  <data>
    <olap pivotCacheId="397329444">
      <levels count="2">
        <level uniqueName="[Income_Tracker_Table].[Person].[(All)]" sourceCaption="(All)" count="0"/>
        <level uniqueName="[Income_Tracker_Table].[Person].[Person]" sourceCaption="Person" count="2">
          <ranges>
            <range startItem="0">
              <i n="[Income_Tracker_Table].[Person].&amp;[Emma]" c="Emma"/>
              <i n="[Income_Tracker_Table].[Person].&amp;[Matt]" c="Matt"/>
            </range>
          </ranges>
        </level>
      </levels>
      <selections count="1">
        <selection n="[Income_Tracker_Table].[Pers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Received__Month" xr10:uid="{9DBD4A2B-F36A-4B61-9E18-33E6899E11A1}" sourceName="[Income_Tracker_Table].[Date Received (Month)]">
  <pivotTables>
    <pivotTable tabId="6" name="PivotTable1"/>
  </pivotTables>
  <data>
    <olap pivotCacheId="397329444">
      <levels count="2">
        <level uniqueName="[Income_Tracker_Table].[Date Received (Month)].[(All)]" sourceCaption="(All)" count="0"/>
        <level uniqueName="[Income_Tracker_Table].[Date Received (Month)].[Date Received (Month)]" sourceCaption="Date Received (Month)" count="4">
          <ranges>
            <range startItem="0">
              <i n="[Income_Tracker_Table].[Date Received (Month)].&amp;[Jan]" c="Jan"/>
              <i n="[Income_Tracker_Table].[Date Received (Month)].&amp;[Feb]" c="Feb"/>
              <i n="[Income_Tracker_Table].[Date Received (Month)].&amp;[Mar]" c="Mar"/>
              <i n="[Income_Tracker_Table].[Date Received (Month)].&amp;[Apr]" c="Apr"/>
            </range>
          </ranges>
        </level>
      </levels>
      <selections count="1">
        <selection n="[Income_Tracker_Table].[Date Received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of_Income" xr10:uid="{F5EC6AAB-F4E6-49BF-A49C-076087FB1783}" sourceName="[Income_Tracker_Table].[Source of Income]">
  <pivotTables>
    <pivotTable tabId="6" name="PivotTable1"/>
  </pivotTables>
  <data>
    <olap pivotCacheId="397329444">
      <levels count="2">
        <level uniqueName="[Income_Tracker_Table].[Source of Income].[(All)]" sourceCaption="(All)" count="0"/>
        <level uniqueName="[Income_Tracker_Table].[Source of Income].[Source of Income]" sourceCaption="Source of Income" count="5">
          <ranges>
            <range startItem="0">
              <i n="[Income_Tracker_Table].[Source of Income].&amp;[Cash]" c="Cash"/>
              <i n="[Income_Tracker_Table].[Source of Income].&amp;[Interest]" c="Interest"/>
              <i n="[Income_Tracker_Table].[Source of Income].&amp;[Paycheck]" c="Paycheck"/>
              <i n="[Income_Tracker_Table].[Source of Income].&amp;[Scholarship]" c="Scholarship"/>
              <i n="[Income_Tracker_Table].[Source of Income].&amp;[Unemployment]" c="Unemployment"/>
            </range>
          </ranges>
        </level>
      </levels>
      <selections count="1">
        <selection n="[Income_Tracker_Table].[Source of Inco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son1" xr10:uid="{54A130F0-C481-47E6-9328-3C00F1C8982F}" sourceName="[Expense_Tracker_Table].[Person]">
  <pivotTables>
    <pivotTable tabId="5" name="PivotTable2"/>
  </pivotTables>
  <data>
    <olap pivotCacheId="1112746158">
      <levels count="2">
        <level uniqueName="[Expense_Tracker_Table].[Person].[(All)]" sourceCaption="(All)" count="0"/>
        <level uniqueName="[Expense_Tracker_Table].[Person].[Person]" sourceCaption="Person" count="2">
          <ranges>
            <range startItem="0">
              <i n="[Expense_Tracker_Table].[Person].&amp;[Emma]" c="Emma"/>
              <i n="[Expense_Tracker_Table].[Person].&amp;[Matt]" c="Matt"/>
            </range>
          </ranges>
        </level>
      </levels>
      <selections count="1">
        <selection n="[Expense_Tracker_Table].[Perso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ason_for_Expenditure" xr10:uid="{96BBE22D-39E7-4B4E-BFCB-9BC31BD23337}" sourceName="[Expense_Tracker_Table].[Reason for Expenditure]">
  <pivotTables>
    <pivotTable tabId="5" name="PivotTable2"/>
  </pivotTables>
  <data>
    <olap pivotCacheId="1112746158">
      <levels count="2">
        <level uniqueName="[Expense_Tracker_Table].[Reason for Expenditure].[(All)]" sourceCaption="(All)" count="0"/>
        <level uniqueName="[Expense_Tracker_Table].[Reason for Expenditure].[Reason for Expenditure]" sourceCaption="Reason for Expenditure" count="10">
          <ranges>
            <range startItem="0">
              <i n="[Expense_Tracker_Table].[Reason for Expenditure].&amp;[Entertainment]" c="Entertainment"/>
              <i n="[Expense_Tracker_Table].[Reason for Expenditure].&amp;[Gas]" c="Gas"/>
              <i n="[Expense_Tracker_Table].[Reason for Expenditure].&amp;[Gifts]" c="Gifts"/>
              <i n="[Expense_Tracker_Table].[Reason for Expenditure].&amp;[Groceries/Food]" c="Groceries/Food"/>
              <i n="[Expense_Tracker_Table].[Reason for Expenditure].&amp;[Medical]" c="Medical"/>
              <i n="[Expense_Tracker_Table].[Reason for Expenditure].&amp;[Mortgage/Rent]" c="Mortgage/Rent"/>
              <i n="[Expense_Tracker_Table].[Reason for Expenditure].&amp;[Other]" c="Other"/>
              <i n="[Expense_Tracker_Table].[Reason for Expenditure].&amp;[Student Loans]" c="Student Loans"/>
              <i n="[Expense_Tracker_Table].[Reason for Expenditure].&amp;[Tuition]" c="Tuition"/>
              <i n="[Expense_Tracker_Table].[Reason for Expenditure].&amp;[Utilites]" c="Utilites"/>
            </range>
          </ranges>
        </level>
      </levels>
      <selections count="1">
        <selection n="[Expense_Tracker_Table].[Reason for Expenditur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84429206-62EE-4DF9-9AF3-C2A008B33A33}" sourceName="[Expense_Tracker_Table].[Source]">
  <pivotTables>
    <pivotTable tabId="5" name="PivotTable2"/>
  </pivotTables>
  <data>
    <olap pivotCacheId="1112746158">
      <levels count="2">
        <level uniqueName="[Expense_Tracker_Table].[Source].[(All)]" sourceCaption="(All)" count="0"/>
        <level uniqueName="[Expense_Tracker_Table].[Source].[Source]" sourceCaption="Source" count="2">
          <ranges>
            <range startItem="0">
              <i n="[Expense_Tracker_Table].[Source].&amp;[Debit Card]" c="Debit Card"/>
              <i n="[Expense_Tracker_Table].[Source].&amp;[Withdraw Cash]" c="Withdraw Cash"/>
            </range>
          </ranges>
        </level>
      </levels>
      <selections count="1">
        <selection n="[Expense_Tracker_Table].[Sour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Date__Month" xr10:uid="{EA73E69F-A15F-4779-8AC0-15CAE31F0BB1}" sourceName="[Expense_Tracker_Table].[Expense Date (Month)]">
  <pivotTables>
    <pivotTable tabId="5" name="PivotTable2"/>
  </pivotTables>
  <data>
    <olap pivotCacheId="1112746158">
      <levels count="2">
        <level uniqueName="[Expense_Tracker_Table].[Expense Date (Month)].[(All)]" sourceCaption="(All)" count="0"/>
        <level uniqueName="[Expense_Tracker_Table].[Expense Date (Month)].[Expense Date (Month)]" sourceCaption="Expense Date (Month)" count="4">
          <ranges>
            <range startItem="0">
              <i n="[Expense_Tracker_Table].[Expense Date (Month)].&amp;[Jan]" c="Jan"/>
              <i n="[Expense_Tracker_Table].[Expense Date (Month)].&amp;[Feb]" c="Feb"/>
              <i n="[Expense_Tracker_Table].[Expense Date (Month)].&amp;[Mar]" c="Mar"/>
              <i n="[Expense_Tracker_Table].[Expense Date (Month)].&amp;[Apr]" c="Apr"/>
            </range>
          </ranges>
        </level>
      </levels>
      <selections count="1">
        <selection n="[Expense_Tracker_Table].[Expense 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son" xr10:uid="{3EA96A39-7EFD-4672-B196-58F56FA4772D}" cache="Slicer_Person" caption="Person" level="1" style="SlicerStyleDark6" rowHeight="234950"/>
  <slicer name="Date Received (Month)" xr10:uid="{CDEBD1FF-C69D-48F0-9B14-44529F557A79}" cache="Slicer_Date_Received__Month" caption="Date Received (Month)" startItem="1" level="1" style="SlicerStyleDark6" rowHeight="234950"/>
  <slicer name="Source of Income" xr10:uid="{AFC38E0A-0E78-45B5-A316-27D3AC9237A9}" cache="Slicer_Source_of_Income" caption="Source of Income" level="1" style="SlicerStyleDark6"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son 1" xr10:uid="{8629E5B7-0210-4283-9F65-D3A41F2DD4FC}" cache="Slicer_Person1" caption="Person" level="1" style="Slicer Style 1" rowHeight="234950"/>
  <slicer name="Reason for Expenditure" xr10:uid="{18A1B2C3-9124-4582-9C23-ACEC5DF5C58C}" cache="Slicer_Reason_for_Expenditure" caption="Reason for Expenditure" startItem="3" level="1" style="Slicer Style 1" rowHeight="234950"/>
  <slicer name="Source" xr10:uid="{97DEFBEA-97E9-421B-94E3-9AC15D94F716}" cache="Slicer_Source" caption="Source" level="1" style="Slicer Style 1" rowHeight="234950"/>
  <slicer name="Expense Date (Month)" xr10:uid="{88361B00-F95F-43DC-AD83-C7F9EC3C636A}" cache="Slicer_Expense_Date__Month" caption="Expense Date (Month)" startItem="2" level="1"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D9E5A95-B5CC-43DF-8FD0-AC476DAE96B3}" name="Income_Tracker_Table" displayName="Income_Tracker_Table" ref="B2:E16" totalsRowShown="0" headerRowDxfId="23" dataDxfId="22">
  <autoFilter ref="B2:E16" xr:uid="{4A0CB5F1-D6E2-4885-8C01-C74BF2BFCF70}"/>
  <tableColumns count="4">
    <tableColumn id="1" xr3:uid="{4BF9C8DE-816A-4323-B75B-24DAB5818E2E}" name="Person" dataDxfId="21"/>
    <tableColumn id="2" xr3:uid="{F35420B4-862F-4D89-88B0-39A24D90E561}" name="Source of Income" dataDxfId="20"/>
    <tableColumn id="3" xr3:uid="{6F13AA53-041E-4805-A4AA-B9398178266C}" name="Amount Earned" dataDxfId="19"/>
    <tableColumn id="4" xr3:uid="{7EFB0AC2-80DE-4E94-A36C-842C4159B7C6}" name="Date Received" dataDxfId="18"/>
  </tableColumns>
  <tableStyleInfo name="Custom Gree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BB215A-DF95-4C92-B086-E582EE76BDB8}" name="Expense_Tracker_Table" displayName="Expense_Tracker_Table" ref="B2:F21" totalsRowShown="0" headerRowDxfId="17" dataDxfId="16">
  <autoFilter ref="B2:F21" xr:uid="{CCE29676-D73E-43B2-82C9-45E71F99D1E2}"/>
  <tableColumns count="5">
    <tableColumn id="1" xr3:uid="{0146DDAE-5245-400F-B144-FDC2F6521DA1}" name="Person" dataDxfId="15"/>
    <tableColumn id="2" xr3:uid="{0161D6BC-9FF2-4C79-8760-B83E20AB61A5}" name="Source" dataDxfId="14"/>
    <tableColumn id="3" xr3:uid="{73D44561-C2F9-41ED-8580-2A1B07230701}" name="Amount Spent" dataDxfId="13"/>
    <tableColumn id="4" xr3:uid="{6EE81F09-5DBA-498D-B78C-60879EC47B37}" name="Expense Date" dataDxfId="12"/>
    <tableColumn id="5" xr3:uid="{41096FB1-0EC5-4956-B572-F6228F7C84BA}" name="Reason for Expenditure" dataDxfId="11"/>
  </tableColumns>
  <tableStyleInfo name="Custom Re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3E85A1-32E6-42BC-AFA9-D6B59307A5F2}" name="Bottom_Line_Table" displayName="Bottom_Line_Table" ref="B4:G976" totalsRowShown="0" headerRowDxfId="10" headerRowBorderDxfId="9" tableBorderDxfId="8" totalsRowBorderDxfId="7">
  <autoFilter ref="B4:G976" xr:uid="{73EDACDF-CDF6-4D98-BFAE-D5BE2E2444D2}"/>
  <tableColumns count="6">
    <tableColumn id="1" xr3:uid="{FBB7179F-20B3-44CD-A9C3-786AF461C17F}" name="Start of Month" dataDxfId="6"/>
    <tableColumn id="2" xr3:uid="{BAD2D3D7-9A54-456B-8559-6E7512AEC8FF}" name="End of Month" dataDxfId="5">
      <calculatedColumnFormula>EOMONTH(B5,0)</calculatedColumnFormula>
    </tableColumn>
    <tableColumn id="3" xr3:uid="{95E80B60-3264-411B-9E7B-E865032C0E91}" name="Revenue" dataDxfId="4">
      <calculatedColumnFormula>'Income Tracker Data'!V3</calculatedColumnFormula>
    </tableColumn>
    <tableColumn id="4" xr3:uid="{EF5B4756-FB92-44D4-9CB1-AE6CAB69DA10}" name="Expenses" dataDxfId="3">
      <calculatedColumnFormula>'Expense Tracker Data'!V3</calculatedColumnFormula>
    </tableColumn>
    <tableColumn id="5" xr3:uid="{A21C1F5A-3863-4653-BBBB-6B3BD9519528}" name="Difference" dataDxfId="2">
      <calculatedColumnFormula>D5-E5</calculatedColumnFormula>
    </tableColumn>
    <tableColumn id="6" xr3:uid="{2D5042FA-844A-42A6-A63F-826DC987D001}" name="Bank Account Balance at end of Month" dataDxfId="1"/>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_Received" xr10:uid="{D6C6E1C4-5388-408C-AA6E-746C14151F22}" sourceName="[Income_Tracker_Table].[Date Received]">
  <pivotTables>
    <pivotTable tabId="6" name="PivotTable1"/>
  </pivotTables>
  <state minimalRefreshVersion="6" lastRefreshVersion="6" pivotCacheId="1273133452" filterType="unknown">
    <bounds startDate="2019-01-01T00:00:00" endDate="203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Expense_Date" xr10:uid="{605B5EBE-1320-4A9E-936D-03EF5B3053CA}" sourceName="[Expense_Tracker_Table].[Expense Date]">
  <pivotTables>
    <pivotTable tabId="5" name="PivotTable2"/>
  </pivotTables>
  <state minimalRefreshVersion="6" lastRefreshVersion="6" pivotCacheId="1179423094" filterType="unknown">
    <bounds startDate="2019-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Received" xr10:uid="{3257C24F-F118-44BC-8823-A56EC17F324D}" cache="Timeline_Date_Received" caption="Date Received" level="2" selectionLevel="2" scrollPosition="2030-06-07T00:00:00" style="TimeSlicerStyleDark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xpense Date" xr10:uid="{646A21D4-DE03-44A5-84E1-A4F91E98DEAF}" cache="Timeline_Expense_Date" caption="Expense Date" level="2" selectionLevel="2" scrollPosition="2019-06-08T00:00:00" style="TimeSlicerStyleDark3"/>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11/relationships/timeline" Target="../timelines/timelin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6C50C-C925-46D2-B6E4-D9149BC0B55E}">
  <sheetPr codeName="Sheet1">
    <tabColor rgb="FF00B050"/>
  </sheetPr>
  <dimension ref="B1:V974"/>
  <sheetViews>
    <sheetView tabSelected="1" workbookViewId="0">
      <pane ySplit="2" topLeftCell="A3" activePane="bottomLeft" state="frozen"/>
      <selection pane="bottomLeft" activeCell="D19" sqref="D19"/>
    </sheetView>
  </sheetViews>
  <sheetFormatPr defaultColWidth="9.109375" defaultRowHeight="14.4" x14ac:dyDescent="0.3"/>
  <cols>
    <col min="1" max="1" width="9.109375" style="18"/>
    <col min="2" max="2" width="13.6640625" style="18" bestFit="1" customWidth="1"/>
    <col min="3" max="3" width="17.33203125" style="18" customWidth="1"/>
    <col min="4" max="4" width="16" style="19" customWidth="1"/>
    <col min="5" max="5" width="14.5546875" style="33" customWidth="1"/>
    <col min="6" max="6" width="9.109375" style="18"/>
    <col min="7" max="7" width="10.109375" style="18" bestFit="1" customWidth="1"/>
    <col min="8" max="15" width="9.109375" style="18"/>
    <col min="16" max="16" width="13.109375" style="18" bestFit="1" customWidth="1"/>
    <col min="17" max="17" width="12.33203125" style="18" bestFit="1" customWidth="1"/>
    <col min="18" max="19" width="9.109375" style="18"/>
    <col min="20" max="20" width="13.109375" style="18" bestFit="1" customWidth="1"/>
    <col min="21" max="21" width="12.33203125" style="18" bestFit="1" customWidth="1"/>
    <col min="22" max="22" width="10.109375" style="19" bestFit="1" customWidth="1"/>
    <col min="23" max="16384" width="9.109375" style="18"/>
  </cols>
  <sheetData>
    <row r="1" spans="2:22" ht="23.4" x14ac:dyDescent="0.45">
      <c r="B1" s="41" t="s">
        <v>0</v>
      </c>
      <c r="C1" s="41"/>
      <c r="D1" s="41"/>
      <c r="E1" s="41"/>
      <c r="V1" s="18"/>
    </row>
    <row r="2" spans="2:22" x14ac:dyDescent="0.3">
      <c r="B2" s="18" t="s">
        <v>1</v>
      </c>
      <c r="C2" s="18" t="s">
        <v>2</v>
      </c>
      <c r="D2" s="18" t="s">
        <v>3</v>
      </c>
      <c r="E2" s="18" t="s">
        <v>4</v>
      </c>
      <c r="F2" s="34"/>
      <c r="T2" s="35" t="s">
        <v>5</v>
      </c>
      <c r="U2" s="36" t="s">
        <v>6</v>
      </c>
      <c r="V2" s="36" t="s">
        <v>7</v>
      </c>
    </row>
    <row r="3" spans="2:22" x14ac:dyDescent="0.3">
      <c r="B3" s="18" t="s">
        <v>8</v>
      </c>
      <c r="C3" s="18" t="s">
        <v>9</v>
      </c>
      <c r="D3" s="19">
        <v>100</v>
      </c>
      <c r="E3" s="33">
        <v>43470</v>
      </c>
      <c r="T3" s="37">
        <v>43466</v>
      </c>
      <c r="U3" s="37">
        <f t="shared" ref="U3:U8" si="0">EOMONTH(T3,0)</f>
        <v>43496</v>
      </c>
      <c r="V3" s="38">
        <f>SUMIFS(Income_Tracker_Table[Amount Earned],Income_Tracker_Table[Date Received],"&gt;="&amp;T3,Income_Tracker_Table[Date Received],"&lt;="&amp;U3)</f>
        <v>4150</v>
      </c>
    </row>
    <row r="4" spans="2:22" x14ac:dyDescent="0.3">
      <c r="B4" s="18" t="s">
        <v>10</v>
      </c>
      <c r="C4" s="18" t="s">
        <v>11</v>
      </c>
      <c r="D4" s="19">
        <v>2000</v>
      </c>
      <c r="E4" s="33">
        <v>43479</v>
      </c>
      <c r="G4" s="19"/>
      <c r="T4" s="39">
        <v>43497</v>
      </c>
      <c r="U4" s="39">
        <f t="shared" si="0"/>
        <v>43524</v>
      </c>
      <c r="V4" s="40">
        <f>SUMIFS(Income_Tracker_Table[Amount Earned],Income_Tracker_Table[Date Received],"&gt;="&amp;T4,Income_Tracker_Table[Date Received],"&lt;="&amp;U4)</f>
        <v>8050</v>
      </c>
    </row>
    <row r="5" spans="2:22" x14ac:dyDescent="0.3">
      <c r="B5" s="18" t="s">
        <v>10</v>
      </c>
      <c r="C5" s="18" t="s">
        <v>11</v>
      </c>
      <c r="D5" s="19">
        <v>2000</v>
      </c>
      <c r="E5" s="33">
        <v>43496</v>
      </c>
      <c r="T5" s="39">
        <v>43525</v>
      </c>
      <c r="U5" s="39">
        <f t="shared" si="0"/>
        <v>43555</v>
      </c>
      <c r="V5" s="40">
        <f>SUMIFS(Income_Tracker_Table[Amount Earned],Income_Tracker_Table[Date Received],"&gt;="&amp;T5,Income_Tracker_Table[Date Received],"&lt;="&amp;U5)</f>
        <v>4350</v>
      </c>
    </row>
    <row r="6" spans="2:22" x14ac:dyDescent="0.3">
      <c r="B6" s="18" t="s">
        <v>10</v>
      </c>
      <c r="C6" s="18" t="s">
        <v>12</v>
      </c>
      <c r="D6" s="19">
        <v>50</v>
      </c>
      <c r="E6" s="33">
        <v>43496</v>
      </c>
      <c r="G6" s="19"/>
      <c r="T6" s="39">
        <v>43556</v>
      </c>
      <c r="U6" s="39">
        <f t="shared" si="0"/>
        <v>43585</v>
      </c>
      <c r="V6" s="40">
        <f>SUMIFS(Income_Tracker_Table[Amount Earned],Income_Tracker_Table[Date Received],"&gt;="&amp;T6,Income_Tracker_Table[Date Received],"&lt;="&amp;U6)</f>
        <v>2000</v>
      </c>
    </row>
    <row r="7" spans="2:22" x14ac:dyDescent="0.3">
      <c r="B7" s="18" t="s">
        <v>8</v>
      </c>
      <c r="C7" s="18" t="s">
        <v>13</v>
      </c>
      <c r="D7" s="19">
        <v>4000</v>
      </c>
      <c r="E7" s="33">
        <v>43506</v>
      </c>
      <c r="T7" s="39">
        <v>43586</v>
      </c>
      <c r="U7" s="39">
        <f t="shared" si="0"/>
        <v>43616</v>
      </c>
      <c r="V7" s="40">
        <f>SUMIFS(Income_Tracker_Table[Amount Earned],Income_Tracker_Table[Date Received],"&gt;="&amp;T7,Income_Tracker_Table[Date Received],"&lt;="&amp;U7)</f>
        <v>0</v>
      </c>
    </row>
    <row r="8" spans="2:22" x14ac:dyDescent="0.3">
      <c r="B8" s="18" t="s">
        <v>10</v>
      </c>
      <c r="C8" s="18" t="s">
        <v>11</v>
      </c>
      <c r="D8" s="19">
        <v>2000</v>
      </c>
      <c r="E8" s="33">
        <v>43510</v>
      </c>
      <c r="T8" s="39">
        <v>43617</v>
      </c>
      <c r="U8" s="39">
        <f t="shared" si="0"/>
        <v>43646</v>
      </c>
      <c r="V8" s="40">
        <f>SUMIFS(Income_Tracker_Table[Amount Earned],Income_Tracker_Table[Date Received],"&gt;="&amp;T8,Income_Tracker_Table[Date Received],"&lt;="&amp;U8)</f>
        <v>0</v>
      </c>
    </row>
    <row r="9" spans="2:22" x14ac:dyDescent="0.3">
      <c r="B9" s="18" t="s">
        <v>10</v>
      </c>
      <c r="C9" s="18" t="s">
        <v>11</v>
      </c>
      <c r="D9" s="19">
        <v>2000</v>
      </c>
      <c r="E9" s="33">
        <v>43524</v>
      </c>
      <c r="T9" s="39">
        <v>43647</v>
      </c>
      <c r="U9" s="39">
        <f t="shared" ref="U9:U72" si="1">EOMONTH(T9,0)</f>
        <v>43677</v>
      </c>
      <c r="V9" s="40">
        <f>SUMIFS(Income_Tracker_Table[Amount Earned],Income_Tracker_Table[Date Received],"&gt;="&amp;T9,Income_Tracker_Table[Date Received],"&lt;="&amp;U9)</f>
        <v>0</v>
      </c>
    </row>
    <row r="10" spans="2:22" x14ac:dyDescent="0.3">
      <c r="B10" s="18" t="s">
        <v>10</v>
      </c>
      <c r="C10" s="18" t="s">
        <v>12</v>
      </c>
      <c r="D10" s="19">
        <v>50</v>
      </c>
      <c r="E10" s="33">
        <v>43524</v>
      </c>
      <c r="T10" s="39">
        <v>43678</v>
      </c>
      <c r="U10" s="39">
        <f t="shared" si="1"/>
        <v>43708</v>
      </c>
      <c r="V10" s="40">
        <f>SUMIFS(Income_Tracker_Table[Amount Earned],Income_Tracker_Table[Date Received],"&gt;="&amp;T10,Income_Tracker_Table[Date Received],"&lt;="&amp;U10)</f>
        <v>0</v>
      </c>
    </row>
    <row r="11" spans="2:22" x14ac:dyDescent="0.3">
      <c r="B11" s="18" t="s">
        <v>8</v>
      </c>
      <c r="C11" s="18" t="s">
        <v>9</v>
      </c>
      <c r="D11" s="19">
        <v>300</v>
      </c>
      <c r="E11" s="33">
        <v>43538</v>
      </c>
      <c r="G11" s="19"/>
      <c r="T11" s="39">
        <v>43709</v>
      </c>
      <c r="U11" s="39">
        <f t="shared" si="1"/>
        <v>43738</v>
      </c>
      <c r="V11" s="40">
        <f>SUMIFS(Income_Tracker_Table[Amount Earned],Income_Tracker_Table[Date Received],"&gt;="&amp;T11,Income_Tracker_Table[Date Received],"&lt;="&amp;U11)</f>
        <v>0</v>
      </c>
    </row>
    <row r="12" spans="2:22" x14ac:dyDescent="0.3">
      <c r="B12" s="18" t="s">
        <v>10</v>
      </c>
      <c r="C12" s="18" t="s">
        <v>11</v>
      </c>
      <c r="D12" s="19">
        <v>2000</v>
      </c>
      <c r="E12" s="33">
        <v>43538</v>
      </c>
      <c r="T12" s="39">
        <v>43739</v>
      </c>
      <c r="U12" s="39">
        <f t="shared" si="1"/>
        <v>43769</v>
      </c>
      <c r="V12" s="40">
        <f>SUMIFS(Income_Tracker_Table[Amount Earned],Income_Tracker_Table[Date Received],"&gt;="&amp;T12,Income_Tracker_Table[Date Received],"&lt;="&amp;U12)</f>
        <v>0</v>
      </c>
    </row>
    <row r="13" spans="2:22" x14ac:dyDescent="0.3">
      <c r="B13" s="18" t="s">
        <v>10</v>
      </c>
      <c r="C13" s="18" t="s">
        <v>11</v>
      </c>
      <c r="D13" s="19">
        <v>2000</v>
      </c>
      <c r="E13" s="33">
        <v>43555</v>
      </c>
      <c r="T13" s="39">
        <v>43770</v>
      </c>
      <c r="U13" s="39">
        <f t="shared" si="1"/>
        <v>43799</v>
      </c>
      <c r="V13" s="40">
        <f>SUMIFS(Income_Tracker_Table[Amount Earned],Income_Tracker_Table[Date Received],"&gt;="&amp;T13,Income_Tracker_Table[Date Received],"&lt;="&amp;U13)</f>
        <v>0</v>
      </c>
    </row>
    <row r="14" spans="2:22" x14ac:dyDescent="0.3">
      <c r="B14" s="18" t="s">
        <v>10</v>
      </c>
      <c r="C14" s="18" t="s">
        <v>12</v>
      </c>
      <c r="D14" s="19">
        <v>50</v>
      </c>
      <c r="E14" s="33">
        <v>43555</v>
      </c>
      <c r="T14" s="39">
        <v>43800</v>
      </c>
      <c r="U14" s="39">
        <f t="shared" si="1"/>
        <v>43830</v>
      </c>
      <c r="V14" s="40">
        <f>SUMIFS(Income_Tracker_Table[Amount Earned],Income_Tracker_Table[Date Received],"&gt;="&amp;T14,Income_Tracker_Table[Date Received],"&lt;="&amp;U14)</f>
        <v>0</v>
      </c>
    </row>
    <row r="15" spans="2:22" x14ac:dyDescent="0.3">
      <c r="B15" s="18" t="s">
        <v>10</v>
      </c>
      <c r="C15" s="18" t="s">
        <v>11</v>
      </c>
      <c r="D15" s="19">
        <v>2000</v>
      </c>
      <c r="E15" s="33">
        <v>43569</v>
      </c>
      <c r="T15" s="39">
        <v>43831</v>
      </c>
      <c r="U15" s="39">
        <f t="shared" si="1"/>
        <v>43861</v>
      </c>
      <c r="V15" s="40">
        <f>SUMIFS(Income_Tracker_Table[Amount Earned],Income_Tracker_Table[Date Received],"&gt;="&amp;T15,Income_Tracker_Table[Date Received],"&lt;="&amp;U15)</f>
        <v>0</v>
      </c>
    </row>
    <row r="16" spans="2:22" x14ac:dyDescent="0.3">
      <c r="B16" s="18" t="s">
        <v>10</v>
      </c>
      <c r="C16" s="18" t="s">
        <v>59</v>
      </c>
      <c r="D16" s="19">
        <v>10000</v>
      </c>
      <c r="E16" s="33">
        <v>47484</v>
      </c>
      <c r="T16" s="39">
        <v>43862</v>
      </c>
      <c r="U16" s="39">
        <f t="shared" si="1"/>
        <v>43890</v>
      </c>
      <c r="V16" s="40">
        <f>SUMIFS(Income_Tracker_Table[Amount Earned],Income_Tracker_Table[Date Received],"&gt;="&amp;T16,Income_Tracker_Table[Date Received],"&lt;="&amp;U16)</f>
        <v>0</v>
      </c>
    </row>
    <row r="17" spans="20:22" x14ac:dyDescent="0.3">
      <c r="T17" s="39">
        <v>43891</v>
      </c>
      <c r="U17" s="39">
        <f t="shared" si="1"/>
        <v>43921</v>
      </c>
      <c r="V17" s="40">
        <f>SUMIFS(Income_Tracker_Table[Amount Earned],Income_Tracker_Table[Date Received],"&gt;="&amp;T17,Income_Tracker_Table[Date Received],"&lt;="&amp;U17)</f>
        <v>0</v>
      </c>
    </row>
    <row r="18" spans="20:22" x14ac:dyDescent="0.3">
      <c r="T18" s="39">
        <v>43922</v>
      </c>
      <c r="U18" s="39">
        <f t="shared" si="1"/>
        <v>43951</v>
      </c>
      <c r="V18" s="40">
        <f>SUMIFS(Income_Tracker_Table[Amount Earned],Income_Tracker_Table[Date Received],"&gt;="&amp;T18,Income_Tracker_Table[Date Received],"&lt;="&amp;U18)</f>
        <v>0</v>
      </c>
    </row>
    <row r="19" spans="20:22" x14ac:dyDescent="0.3">
      <c r="T19" s="39">
        <v>43952</v>
      </c>
      <c r="U19" s="39">
        <f t="shared" si="1"/>
        <v>43982</v>
      </c>
      <c r="V19" s="40">
        <f>SUMIFS(Income_Tracker_Table[Amount Earned],Income_Tracker_Table[Date Received],"&gt;="&amp;T19,Income_Tracker_Table[Date Received],"&lt;="&amp;U19)</f>
        <v>0</v>
      </c>
    </row>
    <row r="20" spans="20:22" x14ac:dyDescent="0.3">
      <c r="T20" s="39">
        <v>43983</v>
      </c>
      <c r="U20" s="39">
        <f t="shared" si="1"/>
        <v>44012</v>
      </c>
      <c r="V20" s="40">
        <f>SUMIFS(Income_Tracker_Table[Amount Earned],Income_Tracker_Table[Date Received],"&gt;="&amp;T20,Income_Tracker_Table[Date Received],"&lt;="&amp;U20)</f>
        <v>0</v>
      </c>
    </row>
    <row r="21" spans="20:22" x14ac:dyDescent="0.3">
      <c r="T21" s="39">
        <v>44013</v>
      </c>
      <c r="U21" s="39">
        <f t="shared" si="1"/>
        <v>44043</v>
      </c>
      <c r="V21" s="40">
        <f>SUMIFS(Income_Tracker_Table[Amount Earned],Income_Tracker_Table[Date Received],"&gt;="&amp;T21,Income_Tracker_Table[Date Received],"&lt;="&amp;U21)</f>
        <v>0</v>
      </c>
    </row>
    <row r="22" spans="20:22" x14ac:dyDescent="0.3">
      <c r="T22" s="39">
        <v>44044</v>
      </c>
      <c r="U22" s="39">
        <f t="shared" si="1"/>
        <v>44074</v>
      </c>
      <c r="V22" s="40">
        <f>SUMIFS(Income_Tracker_Table[Amount Earned],Income_Tracker_Table[Date Received],"&gt;="&amp;T22,Income_Tracker_Table[Date Received],"&lt;="&amp;U22)</f>
        <v>0</v>
      </c>
    </row>
    <row r="23" spans="20:22" x14ac:dyDescent="0.3">
      <c r="T23" s="39">
        <v>44075</v>
      </c>
      <c r="U23" s="39">
        <f t="shared" si="1"/>
        <v>44104</v>
      </c>
      <c r="V23" s="40">
        <f>SUMIFS(Income_Tracker_Table[Amount Earned],Income_Tracker_Table[Date Received],"&gt;="&amp;T23,Income_Tracker_Table[Date Received],"&lt;="&amp;U23)</f>
        <v>0</v>
      </c>
    </row>
    <row r="24" spans="20:22" x14ac:dyDescent="0.3">
      <c r="T24" s="39">
        <v>44105</v>
      </c>
      <c r="U24" s="39">
        <f t="shared" si="1"/>
        <v>44135</v>
      </c>
      <c r="V24" s="40">
        <f>SUMIFS(Income_Tracker_Table[Amount Earned],Income_Tracker_Table[Date Received],"&gt;="&amp;T24,Income_Tracker_Table[Date Received],"&lt;="&amp;U24)</f>
        <v>0</v>
      </c>
    </row>
    <row r="25" spans="20:22" x14ac:dyDescent="0.3">
      <c r="T25" s="39">
        <v>44136</v>
      </c>
      <c r="U25" s="39">
        <f t="shared" si="1"/>
        <v>44165</v>
      </c>
      <c r="V25" s="40">
        <f>SUMIFS(Income_Tracker_Table[Amount Earned],Income_Tracker_Table[Date Received],"&gt;="&amp;T25,Income_Tracker_Table[Date Received],"&lt;="&amp;U25)</f>
        <v>0</v>
      </c>
    </row>
    <row r="26" spans="20:22" x14ac:dyDescent="0.3">
      <c r="T26" s="39">
        <v>44166</v>
      </c>
      <c r="U26" s="39">
        <f t="shared" si="1"/>
        <v>44196</v>
      </c>
      <c r="V26" s="40">
        <f>SUMIFS(Income_Tracker_Table[Amount Earned],Income_Tracker_Table[Date Received],"&gt;="&amp;T26,Income_Tracker_Table[Date Received],"&lt;="&amp;U26)</f>
        <v>0</v>
      </c>
    </row>
    <row r="27" spans="20:22" x14ac:dyDescent="0.3">
      <c r="T27" s="39">
        <v>44197</v>
      </c>
      <c r="U27" s="39">
        <f t="shared" si="1"/>
        <v>44227</v>
      </c>
      <c r="V27" s="40">
        <f>SUMIFS(Income_Tracker_Table[Amount Earned],Income_Tracker_Table[Date Received],"&gt;="&amp;T27,Income_Tracker_Table[Date Received],"&lt;="&amp;U27)</f>
        <v>0</v>
      </c>
    </row>
    <row r="28" spans="20:22" x14ac:dyDescent="0.3">
      <c r="T28" s="39">
        <v>44228</v>
      </c>
      <c r="U28" s="39">
        <f t="shared" si="1"/>
        <v>44255</v>
      </c>
      <c r="V28" s="40">
        <f>SUMIFS(Income_Tracker_Table[Amount Earned],Income_Tracker_Table[Date Received],"&gt;="&amp;T28,Income_Tracker_Table[Date Received],"&lt;="&amp;U28)</f>
        <v>0</v>
      </c>
    </row>
    <row r="29" spans="20:22" x14ac:dyDescent="0.3">
      <c r="T29" s="39">
        <v>44256</v>
      </c>
      <c r="U29" s="39">
        <f t="shared" si="1"/>
        <v>44286</v>
      </c>
      <c r="V29" s="40">
        <f>SUMIFS(Income_Tracker_Table[Amount Earned],Income_Tracker_Table[Date Received],"&gt;="&amp;T29,Income_Tracker_Table[Date Received],"&lt;="&amp;U29)</f>
        <v>0</v>
      </c>
    </row>
    <row r="30" spans="20:22" x14ac:dyDescent="0.3">
      <c r="T30" s="39">
        <v>44287</v>
      </c>
      <c r="U30" s="39">
        <f t="shared" si="1"/>
        <v>44316</v>
      </c>
      <c r="V30" s="40">
        <f>SUMIFS(Income_Tracker_Table[Amount Earned],Income_Tracker_Table[Date Received],"&gt;="&amp;T30,Income_Tracker_Table[Date Received],"&lt;="&amp;U30)</f>
        <v>0</v>
      </c>
    </row>
    <row r="31" spans="20:22" x14ac:dyDescent="0.3">
      <c r="T31" s="39">
        <v>44317</v>
      </c>
      <c r="U31" s="39">
        <f t="shared" si="1"/>
        <v>44347</v>
      </c>
      <c r="V31" s="40">
        <f>SUMIFS(Income_Tracker_Table[Amount Earned],Income_Tracker_Table[Date Received],"&gt;="&amp;T31,Income_Tracker_Table[Date Received],"&lt;="&amp;U31)</f>
        <v>0</v>
      </c>
    </row>
    <row r="32" spans="20:22" x14ac:dyDescent="0.3">
      <c r="T32" s="39">
        <v>44348</v>
      </c>
      <c r="U32" s="39">
        <f t="shared" si="1"/>
        <v>44377</v>
      </c>
      <c r="V32" s="40">
        <f>SUMIFS(Income_Tracker_Table[Amount Earned],Income_Tracker_Table[Date Received],"&gt;="&amp;T32,Income_Tracker_Table[Date Received],"&lt;="&amp;U32)</f>
        <v>0</v>
      </c>
    </row>
    <row r="33" spans="20:22" x14ac:dyDescent="0.3">
      <c r="T33" s="39">
        <v>44378</v>
      </c>
      <c r="U33" s="39">
        <f t="shared" si="1"/>
        <v>44408</v>
      </c>
      <c r="V33" s="40">
        <f>SUMIFS(Income_Tracker_Table[Amount Earned],Income_Tracker_Table[Date Received],"&gt;="&amp;T33,Income_Tracker_Table[Date Received],"&lt;="&amp;U33)</f>
        <v>0</v>
      </c>
    </row>
    <row r="34" spans="20:22" x14ac:dyDescent="0.3">
      <c r="T34" s="39">
        <v>44409</v>
      </c>
      <c r="U34" s="39">
        <f t="shared" si="1"/>
        <v>44439</v>
      </c>
      <c r="V34" s="40">
        <f>SUMIFS(Income_Tracker_Table[Amount Earned],Income_Tracker_Table[Date Received],"&gt;="&amp;T34,Income_Tracker_Table[Date Received],"&lt;="&amp;U34)</f>
        <v>0</v>
      </c>
    </row>
    <row r="35" spans="20:22" x14ac:dyDescent="0.3">
      <c r="T35" s="39">
        <v>44440</v>
      </c>
      <c r="U35" s="39">
        <f t="shared" si="1"/>
        <v>44469</v>
      </c>
      <c r="V35" s="40">
        <f>SUMIFS(Income_Tracker_Table[Amount Earned],Income_Tracker_Table[Date Received],"&gt;="&amp;T35,Income_Tracker_Table[Date Received],"&lt;="&amp;U35)</f>
        <v>0</v>
      </c>
    </row>
    <row r="36" spans="20:22" x14ac:dyDescent="0.3">
      <c r="T36" s="39">
        <v>44470</v>
      </c>
      <c r="U36" s="39">
        <f t="shared" si="1"/>
        <v>44500</v>
      </c>
      <c r="V36" s="40">
        <f>SUMIFS(Income_Tracker_Table[Amount Earned],Income_Tracker_Table[Date Received],"&gt;="&amp;T36,Income_Tracker_Table[Date Received],"&lt;="&amp;U36)</f>
        <v>0</v>
      </c>
    </row>
    <row r="37" spans="20:22" x14ac:dyDescent="0.3">
      <c r="T37" s="39">
        <v>44501</v>
      </c>
      <c r="U37" s="39">
        <f t="shared" si="1"/>
        <v>44530</v>
      </c>
      <c r="V37" s="40">
        <f>SUMIFS(Income_Tracker_Table[Amount Earned],Income_Tracker_Table[Date Received],"&gt;="&amp;T37,Income_Tracker_Table[Date Received],"&lt;="&amp;U37)</f>
        <v>0</v>
      </c>
    </row>
    <row r="38" spans="20:22" x14ac:dyDescent="0.3">
      <c r="T38" s="39">
        <v>44531</v>
      </c>
      <c r="U38" s="39">
        <f t="shared" si="1"/>
        <v>44561</v>
      </c>
      <c r="V38" s="40">
        <f>SUMIFS(Income_Tracker_Table[Amount Earned],Income_Tracker_Table[Date Received],"&gt;="&amp;T38,Income_Tracker_Table[Date Received],"&lt;="&amp;U38)</f>
        <v>0</v>
      </c>
    </row>
    <row r="39" spans="20:22" x14ac:dyDescent="0.3">
      <c r="T39" s="39">
        <v>44562</v>
      </c>
      <c r="U39" s="39">
        <f t="shared" si="1"/>
        <v>44592</v>
      </c>
      <c r="V39" s="40">
        <f>SUMIFS(Income_Tracker_Table[Amount Earned],Income_Tracker_Table[Date Received],"&gt;="&amp;T39,Income_Tracker_Table[Date Received],"&lt;="&amp;U39)</f>
        <v>0</v>
      </c>
    </row>
    <row r="40" spans="20:22" x14ac:dyDescent="0.3">
      <c r="T40" s="39">
        <v>44593</v>
      </c>
      <c r="U40" s="39">
        <f t="shared" si="1"/>
        <v>44620</v>
      </c>
      <c r="V40" s="40">
        <f>SUMIFS(Income_Tracker_Table[Amount Earned],Income_Tracker_Table[Date Received],"&gt;="&amp;T40,Income_Tracker_Table[Date Received],"&lt;="&amp;U40)</f>
        <v>0</v>
      </c>
    </row>
    <row r="41" spans="20:22" x14ac:dyDescent="0.3">
      <c r="T41" s="39">
        <v>44621</v>
      </c>
      <c r="U41" s="39">
        <f t="shared" si="1"/>
        <v>44651</v>
      </c>
      <c r="V41" s="40">
        <f>SUMIFS(Income_Tracker_Table[Amount Earned],Income_Tracker_Table[Date Received],"&gt;="&amp;T41,Income_Tracker_Table[Date Received],"&lt;="&amp;U41)</f>
        <v>0</v>
      </c>
    </row>
    <row r="42" spans="20:22" x14ac:dyDescent="0.3">
      <c r="T42" s="39">
        <v>44652</v>
      </c>
      <c r="U42" s="39">
        <f t="shared" si="1"/>
        <v>44681</v>
      </c>
      <c r="V42" s="40">
        <f>SUMIFS(Income_Tracker_Table[Amount Earned],Income_Tracker_Table[Date Received],"&gt;="&amp;T42,Income_Tracker_Table[Date Received],"&lt;="&amp;U42)</f>
        <v>0</v>
      </c>
    </row>
    <row r="43" spans="20:22" x14ac:dyDescent="0.3">
      <c r="T43" s="39">
        <v>44682</v>
      </c>
      <c r="U43" s="39">
        <f t="shared" si="1"/>
        <v>44712</v>
      </c>
      <c r="V43" s="40">
        <f>SUMIFS(Income_Tracker_Table[Amount Earned],Income_Tracker_Table[Date Received],"&gt;="&amp;T43,Income_Tracker_Table[Date Received],"&lt;="&amp;U43)</f>
        <v>0</v>
      </c>
    </row>
    <row r="44" spans="20:22" x14ac:dyDescent="0.3">
      <c r="T44" s="39">
        <v>44713</v>
      </c>
      <c r="U44" s="39">
        <f t="shared" si="1"/>
        <v>44742</v>
      </c>
      <c r="V44" s="40">
        <f>SUMIFS(Income_Tracker_Table[Amount Earned],Income_Tracker_Table[Date Received],"&gt;="&amp;T44,Income_Tracker_Table[Date Received],"&lt;="&amp;U44)</f>
        <v>0</v>
      </c>
    </row>
    <row r="45" spans="20:22" x14ac:dyDescent="0.3">
      <c r="T45" s="39">
        <v>44743</v>
      </c>
      <c r="U45" s="39">
        <f t="shared" si="1"/>
        <v>44773</v>
      </c>
      <c r="V45" s="40">
        <f>SUMIFS(Income_Tracker_Table[Amount Earned],Income_Tracker_Table[Date Received],"&gt;="&amp;T45,Income_Tracker_Table[Date Received],"&lt;="&amp;U45)</f>
        <v>0</v>
      </c>
    </row>
    <row r="46" spans="20:22" x14ac:dyDescent="0.3">
      <c r="T46" s="39">
        <v>44774</v>
      </c>
      <c r="U46" s="39">
        <f t="shared" si="1"/>
        <v>44804</v>
      </c>
      <c r="V46" s="40">
        <f>SUMIFS(Income_Tracker_Table[Amount Earned],Income_Tracker_Table[Date Received],"&gt;="&amp;T46,Income_Tracker_Table[Date Received],"&lt;="&amp;U46)</f>
        <v>0</v>
      </c>
    </row>
    <row r="47" spans="20:22" x14ac:dyDescent="0.3">
      <c r="T47" s="39">
        <v>44805</v>
      </c>
      <c r="U47" s="39">
        <f t="shared" si="1"/>
        <v>44834</v>
      </c>
      <c r="V47" s="40">
        <f>SUMIFS(Income_Tracker_Table[Amount Earned],Income_Tracker_Table[Date Received],"&gt;="&amp;T47,Income_Tracker_Table[Date Received],"&lt;="&amp;U47)</f>
        <v>0</v>
      </c>
    </row>
    <row r="48" spans="20:22" x14ac:dyDescent="0.3">
      <c r="T48" s="39">
        <v>44835</v>
      </c>
      <c r="U48" s="39">
        <f t="shared" si="1"/>
        <v>44865</v>
      </c>
      <c r="V48" s="40">
        <f>SUMIFS(Income_Tracker_Table[Amount Earned],Income_Tracker_Table[Date Received],"&gt;="&amp;T48,Income_Tracker_Table[Date Received],"&lt;="&amp;U48)</f>
        <v>0</v>
      </c>
    </row>
    <row r="49" spans="20:22" x14ac:dyDescent="0.3">
      <c r="T49" s="39">
        <v>44866</v>
      </c>
      <c r="U49" s="39">
        <f t="shared" si="1"/>
        <v>44895</v>
      </c>
      <c r="V49" s="40">
        <f>SUMIFS(Income_Tracker_Table[Amount Earned],Income_Tracker_Table[Date Received],"&gt;="&amp;T49,Income_Tracker_Table[Date Received],"&lt;="&amp;U49)</f>
        <v>0</v>
      </c>
    </row>
    <row r="50" spans="20:22" x14ac:dyDescent="0.3">
      <c r="T50" s="39">
        <v>44896</v>
      </c>
      <c r="U50" s="39">
        <f t="shared" si="1"/>
        <v>44926</v>
      </c>
      <c r="V50" s="40">
        <f>SUMIFS(Income_Tracker_Table[Amount Earned],Income_Tracker_Table[Date Received],"&gt;="&amp;T50,Income_Tracker_Table[Date Received],"&lt;="&amp;U50)</f>
        <v>0</v>
      </c>
    </row>
    <row r="51" spans="20:22" x14ac:dyDescent="0.3">
      <c r="T51" s="39">
        <v>44927</v>
      </c>
      <c r="U51" s="39">
        <f t="shared" si="1"/>
        <v>44957</v>
      </c>
      <c r="V51" s="40">
        <f>SUMIFS(Income_Tracker_Table[Amount Earned],Income_Tracker_Table[Date Received],"&gt;="&amp;T51,Income_Tracker_Table[Date Received],"&lt;="&amp;U51)</f>
        <v>0</v>
      </c>
    </row>
    <row r="52" spans="20:22" x14ac:dyDescent="0.3">
      <c r="T52" s="39">
        <v>44958</v>
      </c>
      <c r="U52" s="39">
        <f t="shared" si="1"/>
        <v>44985</v>
      </c>
      <c r="V52" s="40">
        <f>SUMIFS(Income_Tracker_Table[Amount Earned],Income_Tracker_Table[Date Received],"&gt;="&amp;T52,Income_Tracker_Table[Date Received],"&lt;="&amp;U52)</f>
        <v>0</v>
      </c>
    </row>
    <row r="53" spans="20:22" x14ac:dyDescent="0.3">
      <c r="T53" s="39">
        <v>44986</v>
      </c>
      <c r="U53" s="39">
        <f t="shared" si="1"/>
        <v>45016</v>
      </c>
      <c r="V53" s="40">
        <f>SUMIFS(Income_Tracker_Table[Amount Earned],Income_Tracker_Table[Date Received],"&gt;="&amp;T53,Income_Tracker_Table[Date Received],"&lt;="&amp;U53)</f>
        <v>0</v>
      </c>
    </row>
    <row r="54" spans="20:22" x14ac:dyDescent="0.3">
      <c r="T54" s="39">
        <v>45017</v>
      </c>
      <c r="U54" s="39">
        <f t="shared" si="1"/>
        <v>45046</v>
      </c>
      <c r="V54" s="40">
        <f>SUMIFS(Income_Tracker_Table[Amount Earned],Income_Tracker_Table[Date Received],"&gt;="&amp;T54,Income_Tracker_Table[Date Received],"&lt;="&amp;U54)</f>
        <v>0</v>
      </c>
    </row>
    <row r="55" spans="20:22" x14ac:dyDescent="0.3">
      <c r="T55" s="39">
        <v>45047</v>
      </c>
      <c r="U55" s="39">
        <f t="shared" si="1"/>
        <v>45077</v>
      </c>
      <c r="V55" s="40">
        <f>SUMIFS(Income_Tracker_Table[Amount Earned],Income_Tracker_Table[Date Received],"&gt;="&amp;T55,Income_Tracker_Table[Date Received],"&lt;="&amp;U55)</f>
        <v>0</v>
      </c>
    </row>
    <row r="56" spans="20:22" x14ac:dyDescent="0.3">
      <c r="T56" s="39">
        <v>45078</v>
      </c>
      <c r="U56" s="39">
        <f t="shared" si="1"/>
        <v>45107</v>
      </c>
      <c r="V56" s="40">
        <f>SUMIFS(Income_Tracker_Table[Amount Earned],Income_Tracker_Table[Date Received],"&gt;="&amp;T56,Income_Tracker_Table[Date Received],"&lt;="&amp;U56)</f>
        <v>0</v>
      </c>
    </row>
    <row r="57" spans="20:22" x14ac:dyDescent="0.3">
      <c r="T57" s="39">
        <v>45108</v>
      </c>
      <c r="U57" s="39">
        <f t="shared" si="1"/>
        <v>45138</v>
      </c>
      <c r="V57" s="40">
        <f>SUMIFS(Income_Tracker_Table[Amount Earned],Income_Tracker_Table[Date Received],"&gt;="&amp;T57,Income_Tracker_Table[Date Received],"&lt;="&amp;U57)</f>
        <v>0</v>
      </c>
    </row>
    <row r="58" spans="20:22" x14ac:dyDescent="0.3">
      <c r="T58" s="39">
        <v>45139</v>
      </c>
      <c r="U58" s="39">
        <f t="shared" si="1"/>
        <v>45169</v>
      </c>
      <c r="V58" s="40">
        <f>SUMIFS(Income_Tracker_Table[Amount Earned],Income_Tracker_Table[Date Received],"&gt;="&amp;T58,Income_Tracker_Table[Date Received],"&lt;="&amp;U58)</f>
        <v>0</v>
      </c>
    </row>
    <row r="59" spans="20:22" x14ac:dyDescent="0.3">
      <c r="T59" s="39">
        <v>45170</v>
      </c>
      <c r="U59" s="39">
        <f t="shared" si="1"/>
        <v>45199</v>
      </c>
      <c r="V59" s="40">
        <f>SUMIFS(Income_Tracker_Table[Amount Earned],Income_Tracker_Table[Date Received],"&gt;="&amp;T59,Income_Tracker_Table[Date Received],"&lt;="&amp;U59)</f>
        <v>0</v>
      </c>
    </row>
    <row r="60" spans="20:22" x14ac:dyDescent="0.3">
      <c r="T60" s="39">
        <v>45200</v>
      </c>
      <c r="U60" s="39">
        <f t="shared" si="1"/>
        <v>45230</v>
      </c>
      <c r="V60" s="40">
        <f>SUMIFS(Income_Tracker_Table[Amount Earned],Income_Tracker_Table[Date Received],"&gt;="&amp;T60,Income_Tracker_Table[Date Received],"&lt;="&amp;U60)</f>
        <v>0</v>
      </c>
    </row>
    <row r="61" spans="20:22" x14ac:dyDescent="0.3">
      <c r="T61" s="39">
        <v>45231</v>
      </c>
      <c r="U61" s="39">
        <f t="shared" si="1"/>
        <v>45260</v>
      </c>
      <c r="V61" s="40">
        <f>SUMIFS(Income_Tracker_Table[Amount Earned],Income_Tracker_Table[Date Received],"&gt;="&amp;T61,Income_Tracker_Table[Date Received],"&lt;="&amp;U61)</f>
        <v>0</v>
      </c>
    </row>
    <row r="62" spans="20:22" x14ac:dyDescent="0.3">
      <c r="T62" s="39">
        <v>45261</v>
      </c>
      <c r="U62" s="39">
        <f t="shared" si="1"/>
        <v>45291</v>
      </c>
      <c r="V62" s="40">
        <f>SUMIFS(Income_Tracker_Table[Amount Earned],Income_Tracker_Table[Date Received],"&gt;="&amp;T62,Income_Tracker_Table[Date Received],"&lt;="&amp;U62)</f>
        <v>0</v>
      </c>
    </row>
    <row r="63" spans="20:22" x14ac:dyDescent="0.3">
      <c r="T63" s="39">
        <v>45292</v>
      </c>
      <c r="U63" s="39">
        <f t="shared" si="1"/>
        <v>45322</v>
      </c>
      <c r="V63" s="40">
        <f>SUMIFS(Income_Tracker_Table[Amount Earned],Income_Tracker_Table[Date Received],"&gt;="&amp;T63,Income_Tracker_Table[Date Received],"&lt;="&amp;U63)</f>
        <v>0</v>
      </c>
    </row>
    <row r="64" spans="20:22" x14ac:dyDescent="0.3">
      <c r="T64" s="39">
        <v>45323</v>
      </c>
      <c r="U64" s="39">
        <f t="shared" si="1"/>
        <v>45351</v>
      </c>
      <c r="V64" s="40">
        <f>SUMIFS(Income_Tracker_Table[Amount Earned],Income_Tracker_Table[Date Received],"&gt;="&amp;T64,Income_Tracker_Table[Date Received],"&lt;="&amp;U64)</f>
        <v>0</v>
      </c>
    </row>
    <row r="65" spans="20:22" x14ac:dyDescent="0.3">
      <c r="T65" s="39">
        <v>45352</v>
      </c>
      <c r="U65" s="39">
        <f t="shared" si="1"/>
        <v>45382</v>
      </c>
      <c r="V65" s="40">
        <f>SUMIFS(Income_Tracker_Table[Amount Earned],Income_Tracker_Table[Date Received],"&gt;="&amp;T65,Income_Tracker_Table[Date Received],"&lt;="&amp;U65)</f>
        <v>0</v>
      </c>
    </row>
    <row r="66" spans="20:22" x14ac:dyDescent="0.3">
      <c r="T66" s="39">
        <v>45383</v>
      </c>
      <c r="U66" s="39">
        <f t="shared" si="1"/>
        <v>45412</v>
      </c>
      <c r="V66" s="40">
        <f>SUMIFS(Income_Tracker_Table[Amount Earned],Income_Tracker_Table[Date Received],"&gt;="&amp;T66,Income_Tracker_Table[Date Received],"&lt;="&amp;U66)</f>
        <v>0</v>
      </c>
    </row>
    <row r="67" spans="20:22" x14ac:dyDescent="0.3">
      <c r="T67" s="39">
        <v>45413</v>
      </c>
      <c r="U67" s="39">
        <f t="shared" si="1"/>
        <v>45443</v>
      </c>
      <c r="V67" s="40">
        <f>SUMIFS(Income_Tracker_Table[Amount Earned],Income_Tracker_Table[Date Received],"&gt;="&amp;T67,Income_Tracker_Table[Date Received],"&lt;="&amp;U67)</f>
        <v>0</v>
      </c>
    </row>
    <row r="68" spans="20:22" x14ac:dyDescent="0.3">
      <c r="T68" s="39">
        <v>45444</v>
      </c>
      <c r="U68" s="39">
        <f t="shared" si="1"/>
        <v>45473</v>
      </c>
      <c r="V68" s="40">
        <f>SUMIFS(Income_Tracker_Table[Amount Earned],Income_Tracker_Table[Date Received],"&gt;="&amp;T68,Income_Tracker_Table[Date Received],"&lt;="&amp;U68)</f>
        <v>0</v>
      </c>
    </row>
    <row r="69" spans="20:22" x14ac:dyDescent="0.3">
      <c r="T69" s="39">
        <v>45474</v>
      </c>
      <c r="U69" s="39">
        <f t="shared" si="1"/>
        <v>45504</v>
      </c>
      <c r="V69" s="40">
        <f>SUMIFS(Income_Tracker_Table[Amount Earned],Income_Tracker_Table[Date Received],"&gt;="&amp;T69,Income_Tracker_Table[Date Received],"&lt;="&amp;U69)</f>
        <v>0</v>
      </c>
    </row>
    <row r="70" spans="20:22" x14ac:dyDescent="0.3">
      <c r="T70" s="39">
        <v>45505</v>
      </c>
      <c r="U70" s="39">
        <f t="shared" si="1"/>
        <v>45535</v>
      </c>
      <c r="V70" s="40">
        <f>SUMIFS(Income_Tracker_Table[Amount Earned],Income_Tracker_Table[Date Received],"&gt;="&amp;T70,Income_Tracker_Table[Date Received],"&lt;="&amp;U70)</f>
        <v>0</v>
      </c>
    </row>
    <row r="71" spans="20:22" x14ac:dyDescent="0.3">
      <c r="T71" s="39">
        <v>45536</v>
      </c>
      <c r="U71" s="39">
        <f t="shared" si="1"/>
        <v>45565</v>
      </c>
      <c r="V71" s="40">
        <f>SUMIFS(Income_Tracker_Table[Amount Earned],Income_Tracker_Table[Date Received],"&gt;="&amp;T71,Income_Tracker_Table[Date Received],"&lt;="&amp;U71)</f>
        <v>0</v>
      </c>
    </row>
    <row r="72" spans="20:22" x14ac:dyDescent="0.3">
      <c r="T72" s="39">
        <v>45566</v>
      </c>
      <c r="U72" s="39">
        <f t="shared" si="1"/>
        <v>45596</v>
      </c>
      <c r="V72" s="40">
        <f>SUMIFS(Income_Tracker_Table[Amount Earned],Income_Tracker_Table[Date Received],"&gt;="&amp;T72,Income_Tracker_Table[Date Received],"&lt;="&amp;U72)</f>
        <v>0</v>
      </c>
    </row>
    <row r="73" spans="20:22" x14ac:dyDescent="0.3">
      <c r="T73" s="39">
        <v>45597</v>
      </c>
      <c r="U73" s="39">
        <f t="shared" ref="U73:U136" si="2">EOMONTH(T73,0)</f>
        <v>45626</v>
      </c>
      <c r="V73" s="40">
        <f>SUMIFS(Income_Tracker_Table[Amount Earned],Income_Tracker_Table[Date Received],"&gt;="&amp;T73,Income_Tracker_Table[Date Received],"&lt;="&amp;U73)</f>
        <v>0</v>
      </c>
    </row>
    <row r="74" spans="20:22" x14ac:dyDescent="0.3">
      <c r="T74" s="39">
        <v>45627</v>
      </c>
      <c r="U74" s="39">
        <f t="shared" si="2"/>
        <v>45657</v>
      </c>
      <c r="V74" s="40">
        <f>SUMIFS(Income_Tracker_Table[Amount Earned],Income_Tracker_Table[Date Received],"&gt;="&amp;T74,Income_Tracker_Table[Date Received],"&lt;="&amp;U74)</f>
        <v>0</v>
      </c>
    </row>
    <row r="75" spans="20:22" x14ac:dyDescent="0.3">
      <c r="T75" s="39">
        <v>45658</v>
      </c>
      <c r="U75" s="39">
        <f t="shared" si="2"/>
        <v>45688</v>
      </c>
      <c r="V75" s="40">
        <f>SUMIFS(Income_Tracker_Table[Amount Earned],Income_Tracker_Table[Date Received],"&gt;="&amp;T75,Income_Tracker_Table[Date Received],"&lt;="&amp;U75)</f>
        <v>0</v>
      </c>
    </row>
    <row r="76" spans="20:22" x14ac:dyDescent="0.3">
      <c r="T76" s="39">
        <v>45689</v>
      </c>
      <c r="U76" s="39">
        <f t="shared" si="2"/>
        <v>45716</v>
      </c>
      <c r="V76" s="40">
        <f>SUMIFS(Income_Tracker_Table[Amount Earned],Income_Tracker_Table[Date Received],"&gt;="&amp;T76,Income_Tracker_Table[Date Received],"&lt;="&amp;U76)</f>
        <v>0</v>
      </c>
    </row>
    <row r="77" spans="20:22" x14ac:dyDescent="0.3">
      <c r="T77" s="39">
        <v>45717</v>
      </c>
      <c r="U77" s="39">
        <f t="shared" si="2"/>
        <v>45747</v>
      </c>
      <c r="V77" s="40">
        <f>SUMIFS(Income_Tracker_Table[Amount Earned],Income_Tracker_Table[Date Received],"&gt;="&amp;T77,Income_Tracker_Table[Date Received],"&lt;="&amp;U77)</f>
        <v>0</v>
      </c>
    </row>
    <row r="78" spans="20:22" x14ac:dyDescent="0.3">
      <c r="T78" s="39">
        <v>45748</v>
      </c>
      <c r="U78" s="39">
        <f t="shared" si="2"/>
        <v>45777</v>
      </c>
      <c r="V78" s="40">
        <f>SUMIFS(Income_Tracker_Table[Amount Earned],Income_Tracker_Table[Date Received],"&gt;="&amp;T78,Income_Tracker_Table[Date Received],"&lt;="&amp;U78)</f>
        <v>0</v>
      </c>
    </row>
    <row r="79" spans="20:22" x14ac:dyDescent="0.3">
      <c r="T79" s="39">
        <v>45778</v>
      </c>
      <c r="U79" s="39">
        <f t="shared" si="2"/>
        <v>45808</v>
      </c>
      <c r="V79" s="40">
        <f>SUMIFS(Income_Tracker_Table[Amount Earned],Income_Tracker_Table[Date Received],"&gt;="&amp;T79,Income_Tracker_Table[Date Received],"&lt;="&amp;U79)</f>
        <v>0</v>
      </c>
    </row>
    <row r="80" spans="20:22" x14ac:dyDescent="0.3">
      <c r="T80" s="39">
        <v>45809</v>
      </c>
      <c r="U80" s="39">
        <f t="shared" si="2"/>
        <v>45838</v>
      </c>
      <c r="V80" s="40">
        <f>SUMIFS(Income_Tracker_Table[Amount Earned],Income_Tracker_Table[Date Received],"&gt;="&amp;T80,Income_Tracker_Table[Date Received],"&lt;="&amp;U80)</f>
        <v>0</v>
      </c>
    </row>
    <row r="81" spans="20:22" x14ac:dyDescent="0.3">
      <c r="T81" s="39">
        <v>45839</v>
      </c>
      <c r="U81" s="39">
        <f t="shared" si="2"/>
        <v>45869</v>
      </c>
      <c r="V81" s="40">
        <f>SUMIFS(Income_Tracker_Table[Amount Earned],Income_Tracker_Table[Date Received],"&gt;="&amp;T81,Income_Tracker_Table[Date Received],"&lt;="&amp;U81)</f>
        <v>0</v>
      </c>
    </row>
    <row r="82" spans="20:22" x14ac:dyDescent="0.3">
      <c r="T82" s="39">
        <v>45870</v>
      </c>
      <c r="U82" s="39">
        <f t="shared" si="2"/>
        <v>45900</v>
      </c>
      <c r="V82" s="40">
        <f>SUMIFS(Income_Tracker_Table[Amount Earned],Income_Tracker_Table[Date Received],"&gt;="&amp;T82,Income_Tracker_Table[Date Received],"&lt;="&amp;U82)</f>
        <v>0</v>
      </c>
    </row>
    <row r="83" spans="20:22" x14ac:dyDescent="0.3">
      <c r="T83" s="39">
        <v>45901</v>
      </c>
      <c r="U83" s="39">
        <f t="shared" si="2"/>
        <v>45930</v>
      </c>
      <c r="V83" s="40">
        <f>SUMIFS(Income_Tracker_Table[Amount Earned],Income_Tracker_Table[Date Received],"&gt;="&amp;T83,Income_Tracker_Table[Date Received],"&lt;="&amp;U83)</f>
        <v>0</v>
      </c>
    </row>
    <row r="84" spans="20:22" x14ac:dyDescent="0.3">
      <c r="T84" s="39">
        <v>45931</v>
      </c>
      <c r="U84" s="39">
        <f t="shared" si="2"/>
        <v>45961</v>
      </c>
      <c r="V84" s="40">
        <f>SUMIFS(Income_Tracker_Table[Amount Earned],Income_Tracker_Table[Date Received],"&gt;="&amp;T84,Income_Tracker_Table[Date Received],"&lt;="&amp;U84)</f>
        <v>0</v>
      </c>
    </row>
    <row r="85" spans="20:22" x14ac:dyDescent="0.3">
      <c r="T85" s="39">
        <v>45962</v>
      </c>
      <c r="U85" s="39">
        <f t="shared" si="2"/>
        <v>45991</v>
      </c>
      <c r="V85" s="40">
        <f>SUMIFS(Income_Tracker_Table[Amount Earned],Income_Tracker_Table[Date Received],"&gt;="&amp;T85,Income_Tracker_Table[Date Received],"&lt;="&amp;U85)</f>
        <v>0</v>
      </c>
    </row>
    <row r="86" spans="20:22" x14ac:dyDescent="0.3">
      <c r="T86" s="39">
        <v>45992</v>
      </c>
      <c r="U86" s="39">
        <f t="shared" si="2"/>
        <v>46022</v>
      </c>
      <c r="V86" s="40">
        <f>SUMIFS(Income_Tracker_Table[Amount Earned],Income_Tracker_Table[Date Received],"&gt;="&amp;T86,Income_Tracker_Table[Date Received],"&lt;="&amp;U86)</f>
        <v>0</v>
      </c>
    </row>
    <row r="87" spans="20:22" x14ac:dyDescent="0.3">
      <c r="T87" s="39">
        <v>46023</v>
      </c>
      <c r="U87" s="39">
        <f t="shared" si="2"/>
        <v>46053</v>
      </c>
      <c r="V87" s="40">
        <f>SUMIFS(Income_Tracker_Table[Amount Earned],Income_Tracker_Table[Date Received],"&gt;="&amp;T87,Income_Tracker_Table[Date Received],"&lt;="&amp;U87)</f>
        <v>0</v>
      </c>
    </row>
    <row r="88" spans="20:22" x14ac:dyDescent="0.3">
      <c r="T88" s="39">
        <v>46054</v>
      </c>
      <c r="U88" s="39">
        <f t="shared" si="2"/>
        <v>46081</v>
      </c>
      <c r="V88" s="40">
        <f>SUMIFS(Income_Tracker_Table[Amount Earned],Income_Tracker_Table[Date Received],"&gt;="&amp;T88,Income_Tracker_Table[Date Received],"&lt;="&amp;U88)</f>
        <v>0</v>
      </c>
    </row>
    <row r="89" spans="20:22" x14ac:dyDescent="0.3">
      <c r="T89" s="39">
        <v>46082</v>
      </c>
      <c r="U89" s="39">
        <f t="shared" si="2"/>
        <v>46112</v>
      </c>
      <c r="V89" s="40">
        <f>SUMIFS(Income_Tracker_Table[Amount Earned],Income_Tracker_Table[Date Received],"&gt;="&amp;T89,Income_Tracker_Table[Date Received],"&lt;="&amp;U89)</f>
        <v>0</v>
      </c>
    </row>
    <row r="90" spans="20:22" x14ac:dyDescent="0.3">
      <c r="T90" s="39">
        <v>46113</v>
      </c>
      <c r="U90" s="39">
        <f t="shared" si="2"/>
        <v>46142</v>
      </c>
      <c r="V90" s="40">
        <f>SUMIFS(Income_Tracker_Table[Amount Earned],Income_Tracker_Table[Date Received],"&gt;="&amp;T90,Income_Tracker_Table[Date Received],"&lt;="&amp;U90)</f>
        <v>0</v>
      </c>
    </row>
    <row r="91" spans="20:22" x14ac:dyDescent="0.3">
      <c r="T91" s="39">
        <v>46143</v>
      </c>
      <c r="U91" s="39">
        <f t="shared" si="2"/>
        <v>46173</v>
      </c>
      <c r="V91" s="40">
        <f>SUMIFS(Income_Tracker_Table[Amount Earned],Income_Tracker_Table[Date Received],"&gt;="&amp;T91,Income_Tracker_Table[Date Received],"&lt;="&amp;U91)</f>
        <v>0</v>
      </c>
    </row>
    <row r="92" spans="20:22" x14ac:dyDescent="0.3">
      <c r="T92" s="39">
        <v>46174</v>
      </c>
      <c r="U92" s="39">
        <f t="shared" si="2"/>
        <v>46203</v>
      </c>
      <c r="V92" s="40">
        <f>SUMIFS(Income_Tracker_Table[Amount Earned],Income_Tracker_Table[Date Received],"&gt;="&amp;T92,Income_Tracker_Table[Date Received],"&lt;="&amp;U92)</f>
        <v>0</v>
      </c>
    </row>
    <row r="93" spans="20:22" x14ac:dyDescent="0.3">
      <c r="T93" s="39">
        <v>46204</v>
      </c>
      <c r="U93" s="39">
        <f t="shared" si="2"/>
        <v>46234</v>
      </c>
      <c r="V93" s="40">
        <f>SUMIFS(Income_Tracker_Table[Amount Earned],Income_Tracker_Table[Date Received],"&gt;="&amp;T93,Income_Tracker_Table[Date Received],"&lt;="&amp;U93)</f>
        <v>0</v>
      </c>
    </row>
    <row r="94" spans="20:22" x14ac:dyDescent="0.3">
      <c r="T94" s="39">
        <v>46235</v>
      </c>
      <c r="U94" s="39">
        <f t="shared" si="2"/>
        <v>46265</v>
      </c>
      <c r="V94" s="40">
        <f>SUMIFS(Income_Tracker_Table[Amount Earned],Income_Tracker_Table[Date Received],"&gt;="&amp;T94,Income_Tracker_Table[Date Received],"&lt;="&amp;U94)</f>
        <v>0</v>
      </c>
    </row>
    <row r="95" spans="20:22" x14ac:dyDescent="0.3">
      <c r="T95" s="39">
        <v>46266</v>
      </c>
      <c r="U95" s="39">
        <f t="shared" si="2"/>
        <v>46295</v>
      </c>
      <c r="V95" s="40">
        <f>SUMIFS(Income_Tracker_Table[Amount Earned],Income_Tracker_Table[Date Received],"&gt;="&amp;T95,Income_Tracker_Table[Date Received],"&lt;="&amp;U95)</f>
        <v>0</v>
      </c>
    </row>
    <row r="96" spans="20:22" x14ac:dyDescent="0.3">
      <c r="T96" s="39">
        <v>46296</v>
      </c>
      <c r="U96" s="39">
        <f t="shared" si="2"/>
        <v>46326</v>
      </c>
      <c r="V96" s="40">
        <f>SUMIFS(Income_Tracker_Table[Amount Earned],Income_Tracker_Table[Date Received],"&gt;="&amp;T96,Income_Tracker_Table[Date Received],"&lt;="&amp;U96)</f>
        <v>0</v>
      </c>
    </row>
    <row r="97" spans="20:22" x14ac:dyDescent="0.3">
      <c r="T97" s="39">
        <v>46327</v>
      </c>
      <c r="U97" s="39">
        <f t="shared" si="2"/>
        <v>46356</v>
      </c>
      <c r="V97" s="40">
        <f>SUMIFS(Income_Tracker_Table[Amount Earned],Income_Tracker_Table[Date Received],"&gt;="&amp;T97,Income_Tracker_Table[Date Received],"&lt;="&amp;U97)</f>
        <v>0</v>
      </c>
    </row>
    <row r="98" spans="20:22" x14ac:dyDescent="0.3">
      <c r="T98" s="39">
        <v>46357</v>
      </c>
      <c r="U98" s="39">
        <f t="shared" si="2"/>
        <v>46387</v>
      </c>
      <c r="V98" s="40">
        <f>SUMIFS(Income_Tracker_Table[Amount Earned],Income_Tracker_Table[Date Received],"&gt;="&amp;T98,Income_Tracker_Table[Date Received],"&lt;="&amp;U98)</f>
        <v>0</v>
      </c>
    </row>
    <row r="99" spans="20:22" x14ac:dyDescent="0.3">
      <c r="T99" s="39">
        <v>46388</v>
      </c>
      <c r="U99" s="39">
        <f t="shared" si="2"/>
        <v>46418</v>
      </c>
      <c r="V99" s="40">
        <f>SUMIFS(Income_Tracker_Table[Amount Earned],Income_Tracker_Table[Date Received],"&gt;="&amp;T99,Income_Tracker_Table[Date Received],"&lt;="&amp;U99)</f>
        <v>0</v>
      </c>
    </row>
    <row r="100" spans="20:22" x14ac:dyDescent="0.3">
      <c r="T100" s="39">
        <v>46419</v>
      </c>
      <c r="U100" s="39">
        <f t="shared" si="2"/>
        <v>46446</v>
      </c>
      <c r="V100" s="40">
        <f>SUMIFS(Income_Tracker_Table[Amount Earned],Income_Tracker_Table[Date Received],"&gt;="&amp;T100,Income_Tracker_Table[Date Received],"&lt;="&amp;U100)</f>
        <v>0</v>
      </c>
    </row>
    <row r="101" spans="20:22" x14ac:dyDescent="0.3">
      <c r="T101" s="39">
        <v>46447</v>
      </c>
      <c r="U101" s="39">
        <f t="shared" si="2"/>
        <v>46477</v>
      </c>
      <c r="V101" s="40">
        <f>SUMIFS(Income_Tracker_Table[Amount Earned],Income_Tracker_Table[Date Received],"&gt;="&amp;T101,Income_Tracker_Table[Date Received],"&lt;="&amp;U101)</f>
        <v>0</v>
      </c>
    </row>
    <row r="102" spans="20:22" x14ac:dyDescent="0.3">
      <c r="T102" s="39">
        <v>46478</v>
      </c>
      <c r="U102" s="39">
        <f t="shared" si="2"/>
        <v>46507</v>
      </c>
      <c r="V102" s="40">
        <f>SUMIFS(Income_Tracker_Table[Amount Earned],Income_Tracker_Table[Date Received],"&gt;="&amp;T102,Income_Tracker_Table[Date Received],"&lt;="&amp;U102)</f>
        <v>0</v>
      </c>
    </row>
    <row r="103" spans="20:22" x14ac:dyDescent="0.3">
      <c r="T103" s="39">
        <v>46508</v>
      </c>
      <c r="U103" s="39">
        <f t="shared" si="2"/>
        <v>46538</v>
      </c>
      <c r="V103" s="40">
        <f>SUMIFS(Income_Tracker_Table[Amount Earned],Income_Tracker_Table[Date Received],"&gt;="&amp;T103,Income_Tracker_Table[Date Received],"&lt;="&amp;U103)</f>
        <v>0</v>
      </c>
    </row>
    <row r="104" spans="20:22" x14ac:dyDescent="0.3">
      <c r="T104" s="39">
        <v>46539</v>
      </c>
      <c r="U104" s="39">
        <f t="shared" si="2"/>
        <v>46568</v>
      </c>
      <c r="V104" s="40">
        <f>SUMIFS(Income_Tracker_Table[Amount Earned],Income_Tracker_Table[Date Received],"&gt;="&amp;T104,Income_Tracker_Table[Date Received],"&lt;="&amp;U104)</f>
        <v>0</v>
      </c>
    </row>
    <row r="105" spans="20:22" x14ac:dyDescent="0.3">
      <c r="T105" s="39">
        <v>46569</v>
      </c>
      <c r="U105" s="39">
        <f t="shared" si="2"/>
        <v>46599</v>
      </c>
      <c r="V105" s="40">
        <f>SUMIFS(Income_Tracker_Table[Amount Earned],Income_Tracker_Table[Date Received],"&gt;="&amp;T105,Income_Tracker_Table[Date Received],"&lt;="&amp;U105)</f>
        <v>0</v>
      </c>
    </row>
    <row r="106" spans="20:22" x14ac:dyDescent="0.3">
      <c r="T106" s="39">
        <v>46600</v>
      </c>
      <c r="U106" s="39">
        <f t="shared" si="2"/>
        <v>46630</v>
      </c>
      <c r="V106" s="40">
        <f>SUMIFS(Income_Tracker_Table[Amount Earned],Income_Tracker_Table[Date Received],"&gt;="&amp;T106,Income_Tracker_Table[Date Received],"&lt;="&amp;U106)</f>
        <v>0</v>
      </c>
    </row>
    <row r="107" spans="20:22" x14ac:dyDescent="0.3">
      <c r="T107" s="39">
        <v>46631</v>
      </c>
      <c r="U107" s="39">
        <f t="shared" si="2"/>
        <v>46660</v>
      </c>
      <c r="V107" s="40">
        <f>SUMIFS(Income_Tracker_Table[Amount Earned],Income_Tracker_Table[Date Received],"&gt;="&amp;T107,Income_Tracker_Table[Date Received],"&lt;="&amp;U107)</f>
        <v>0</v>
      </c>
    </row>
    <row r="108" spans="20:22" x14ac:dyDescent="0.3">
      <c r="T108" s="39">
        <v>46661</v>
      </c>
      <c r="U108" s="39">
        <f t="shared" si="2"/>
        <v>46691</v>
      </c>
      <c r="V108" s="40">
        <f>SUMIFS(Income_Tracker_Table[Amount Earned],Income_Tracker_Table[Date Received],"&gt;="&amp;T108,Income_Tracker_Table[Date Received],"&lt;="&amp;U108)</f>
        <v>0</v>
      </c>
    </row>
    <row r="109" spans="20:22" x14ac:dyDescent="0.3">
      <c r="T109" s="39">
        <v>46692</v>
      </c>
      <c r="U109" s="39">
        <f t="shared" si="2"/>
        <v>46721</v>
      </c>
      <c r="V109" s="40">
        <f>SUMIFS(Income_Tracker_Table[Amount Earned],Income_Tracker_Table[Date Received],"&gt;="&amp;T109,Income_Tracker_Table[Date Received],"&lt;="&amp;U109)</f>
        <v>0</v>
      </c>
    </row>
    <row r="110" spans="20:22" x14ac:dyDescent="0.3">
      <c r="T110" s="39">
        <v>46722</v>
      </c>
      <c r="U110" s="39">
        <f t="shared" si="2"/>
        <v>46752</v>
      </c>
      <c r="V110" s="40">
        <f>SUMIFS(Income_Tracker_Table[Amount Earned],Income_Tracker_Table[Date Received],"&gt;="&amp;T110,Income_Tracker_Table[Date Received],"&lt;="&amp;U110)</f>
        <v>0</v>
      </c>
    </row>
    <row r="111" spans="20:22" x14ac:dyDescent="0.3">
      <c r="T111" s="39">
        <v>46753</v>
      </c>
      <c r="U111" s="39">
        <f t="shared" si="2"/>
        <v>46783</v>
      </c>
      <c r="V111" s="40">
        <f>SUMIFS(Income_Tracker_Table[Amount Earned],Income_Tracker_Table[Date Received],"&gt;="&amp;T111,Income_Tracker_Table[Date Received],"&lt;="&amp;U111)</f>
        <v>0</v>
      </c>
    </row>
    <row r="112" spans="20:22" x14ac:dyDescent="0.3">
      <c r="T112" s="39">
        <v>46784</v>
      </c>
      <c r="U112" s="39">
        <f t="shared" si="2"/>
        <v>46812</v>
      </c>
      <c r="V112" s="40">
        <f>SUMIFS(Income_Tracker_Table[Amount Earned],Income_Tracker_Table[Date Received],"&gt;="&amp;T112,Income_Tracker_Table[Date Received],"&lt;="&amp;U112)</f>
        <v>0</v>
      </c>
    </row>
    <row r="113" spans="20:22" x14ac:dyDescent="0.3">
      <c r="T113" s="39">
        <v>46813</v>
      </c>
      <c r="U113" s="39">
        <f t="shared" si="2"/>
        <v>46843</v>
      </c>
      <c r="V113" s="40">
        <f>SUMIFS(Income_Tracker_Table[Amount Earned],Income_Tracker_Table[Date Received],"&gt;="&amp;T113,Income_Tracker_Table[Date Received],"&lt;="&amp;U113)</f>
        <v>0</v>
      </c>
    </row>
    <row r="114" spans="20:22" x14ac:dyDescent="0.3">
      <c r="T114" s="39">
        <v>46844</v>
      </c>
      <c r="U114" s="39">
        <f t="shared" si="2"/>
        <v>46873</v>
      </c>
      <c r="V114" s="40">
        <f>SUMIFS(Income_Tracker_Table[Amount Earned],Income_Tracker_Table[Date Received],"&gt;="&amp;T114,Income_Tracker_Table[Date Received],"&lt;="&amp;U114)</f>
        <v>0</v>
      </c>
    </row>
    <row r="115" spans="20:22" x14ac:dyDescent="0.3">
      <c r="T115" s="39">
        <v>46874</v>
      </c>
      <c r="U115" s="39">
        <f t="shared" si="2"/>
        <v>46904</v>
      </c>
      <c r="V115" s="40">
        <f>SUMIFS(Income_Tracker_Table[Amount Earned],Income_Tracker_Table[Date Received],"&gt;="&amp;T115,Income_Tracker_Table[Date Received],"&lt;="&amp;U115)</f>
        <v>0</v>
      </c>
    </row>
    <row r="116" spans="20:22" x14ac:dyDescent="0.3">
      <c r="T116" s="39">
        <v>46905</v>
      </c>
      <c r="U116" s="39">
        <f t="shared" si="2"/>
        <v>46934</v>
      </c>
      <c r="V116" s="40">
        <f>SUMIFS(Income_Tracker_Table[Amount Earned],Income_Tracker_Table[Date Received],"&gt;="&amp;T116,Income_Tracker_Table[Date Received],"&lt;="&amp;U116)</f>
        <v>0</v>
      </c>
    </row>
    <row r="117" spans="20:22" x14ac:dyDescent="0.3">
      <c r="T117" s="39">
        <v>46935</v>
      </c>
      <c r="U117" s="39">
        <f t="shared" si="2"/>
        <v>46965</v>
      </c>
      <c r="V117" s="40">
        <f>SUMIFS(Income_Tracker_Table[Amount Earned],Income_Tracker_Table[Date Received],"&gt;="&amp;T117,Income_Tracker_Table[Date Received],"&lt;="&amp;U117)</f>
        <v>0</v>
      </c>
    </row>
    <row r="118" spans="20:22" x14ac:dyDescent="0.3">
      <c r="T118" s="39">
        <v>46966</v>
      </c>
      <c r="U118" s="39">
        <f t="shared" si="2"/>
        <v>46996</v>
      </c>
      <c r="V118" s="40">
        <f>SUMIFS(Income_Tracker_Table[Amount Earned],Income_Tracker_Table[Date Received],"&gt;="&amp;T118,Income_Tracker_Table[Date Received],"&lt;="&amp;U118)</f>
        <v>0</v>
      </c>
    </row>
    <row r="119" spans="20:22" x14ac:dyDescent="0.3">
      <c r="T119" s="39">
        <v>46997</v>
      </c>
      <c r="U119" s="39">
        <f t="shared" si="2"/>
        <v>47026</v>
      </c>
      <c r="V119" s="40">
        <f>SUMIFS(Income_Tracker_Table[Amount Earned],Income_Tracker_Table[Date Received],"&gt;="&amp;T119,Income_Tracker_Table[Date Received],"&lt;="&amp;U119)</f>
        <v>0</v>
      </c>
    </row>
    <row r="120" spans="20:22" x14ac:dyDescent="0.3">
      <c r="T120" s="39">
        <v>47027</v>
      </c>
      <c r="U120" s="39">
        <f t="shared" si="2"/>
        <v>47057</v>
      </c>
      <c r="V120" s="40">
        <f>SUMIFS(Income_Tracker_Table[Amount Earned],Income_Tracker_Table[Date Received],"&gt;="&amp;T120,Income_Tracker_Table[Date Received],"&lt;="&amp;U120)</f>
        <v>0</v>
      </c>
    </row>
    <row r="121" spans="20:22" x14ac:dyDescent="0.3">
      <c r="T121" s="39">
        <v>47058</v>
      </c>
      <c r="U121" s="39">
        <f t="shared" si="2"/>
        <v>47087</v>
      </c>
      <c r="V121" s="40">
        <f>SUMIFS(Income_Tracker_Table[Amount Earned],Income_Tracker_Table[Date Received],"&gt;="&amp;T121,Income_Tracker_Table[Date Received],"&lt;="&amp;U121)</f>
        <v>0</v>
      </c>
    </row>
    <row r="122" spans="20:22" x14ac:dyDescent="0.3">
      <c r="T122" s="39">
        <v>47088</v>
      </c>
      <c r="U122" s="39">
        <f t="shared" si="2"/>
        <v>47118</v>
      </c>
      <c r="V122" s="40">
        <f>SUMIFS(Income_Tracker_Table[Amount Earned],Income_Tracker_Table[Date Received],"&gt;="&amp;T122,Income_Tracker_Table[Date Received],"&lt;="&amp;U122)</f>
        <v>0</v>
      </c>
    </row>
    <row r="123" spans="20:22" x14ac:dyDescent="0.3">
      <c r="T123" s="39">
        <v>47119</v>
      </c>
      <c r="U123" s="39">
        <f t="shared" si="2"/>
        <v>47149</v>
      </c>
      <c r="V123" s="40">
        <f>SUMIFS(Income_Tracker_Table[Amount Earned],Income_Tracker_Table[Date Received],"&gt;="&amp;T123,Income_Tracker_Table[Date Received],"&lt;="&amp;U123)</f>
        <v>0</v>
      </c>
    </row>
    <row r="124" spans="20:22" x14ac:dyDescent="0.3">
      <c r="T124" s="39">
        <v>47150</v>
      </c>
      <c r="U124" s="39">
        <f t="shared" si="2"/>
        <v>47177</v>
      </c>
      <c r="V124" s="40">
        <f>SUMIFS(Income_Tracker_Table[Amount Earned],Income_Tracker_Table[Date Received],"&gt;="&amp;T124,Income_Tracker_Table[Date Received],"&lt;="&amp;U124)</f>
        <v>0</v>
      </c>
    </row>
    <row r="125" spans="20:22" x14ac:dyDescent="0.3">
      <c r="T125" s="39">
        <v>47178</v>
      </c>
      <c r="U125" s="39">
        <f t="shared" si="2"/>
        <v>47208</v>
      </c>
      <c r="V125" s="40">
        <f>SUMIFS(Income_Tracker_Table[Amount Earned],Income_Tracker_Table[Date Received],"&gt;="&amp;T125,Income_Tracker_Table[Date Received],"&lt;="&amp;U125)</f>
        <v>0</v>
      </c>
    </row>
    <row r="126" spans="20:22" x14ac:dyDescent="0.3">
      <c r="T126" s="39">
        <v>47209</v>
      </c>
      <c r="U126" s="39">
        <f t="shared" si="2"/>
        <v>47238</v>
      </c>
      <c r="V126" s="40">
        <f>SUMIFS(Income_Tracker_Table[Amount Earned],Income_Tracker_Table[Date Received],"&gt;="&amp;T126,Income_Tracker_Table[Date Received],"&lt;="&amp;U126)</f>
        <v>0</v>
      </c>
    </row>
    <row r="127" spans="20:22" x14ac:dyDescent="0.3">
      <c r="T127" s="39">
        <v>47239</v>
      </c>
      <c r="U127" s="39">
        <f t="shared" si="2"/>
        <v>47269</v>
      </c>
      <c r="V127" s="40">
        <f>SUMIFS(Income_Tracker_Table[Amount Earned],Income_Tracker_Table[Date Received],"&gt;="&amp;T127,Income_Tracker_Table[Date Received],"&lt;="&amp;U127)</f>
        <v>0</v>
      </c>
    </row>
    <row r="128" spans="20:22" x14ac:dyDescent="0.3">
      <c r="T128" s="39">
        <v>47270</v>
      </c>
      <c r="U128" s="39">
        <f t="shared" si="2"/>
        <v>47299</v>
      </c>
      <c r="V128" s="40">
        <f>SUMIFS(Income_Tracker_Table[Amount Earned],Income_Tracker_Table[Date Received],"&gt;="&amp;T128,Income_Tracker_Table[Date Received],"&lt;="&amp;U128)</f>
        <v>0</v>
      </c>
    </row>
    <row r="129" spans="20:22" x14ac:dyDescent="0.3">
      <c r="T129" s="39">
        <v>47300</v>
      </c>
      <c r="U129" s="39">
        <f t="shared" si="2"/>
        <v>47330</v>
      </c>
      <c r="V129" s="40">
        <f>SUMIFS(Income_Tracker_Table[Amount Earned],Income_Tracker_Table[Date Received],"&gt;="&amp;T129,Income_Tracker_Table[Date Received],"&lt;="&amp;U129)</f>
        <v>0</v>
      </c>
    </row>
    <row r="130" spans="20:22" x14ac:dyDescent="0.3">
      <c r="T130" s="39">
        <v>47331</v>
      </c>
      <c r="U130" s="39">
        <f t="shared" si="2"/>
        <v>47361</v>
      </c>
      <c r="V130" s="40">
        <f>SUMIFS(Income_Tracker_Table[Amount Earned],Income_Tracker_Table[Date Received],"&gt;="&amp;T130,Income_Tracker_Table[Date Received],"&lt;="&amp;U130)</f>
        <v>0</v>
      </c>
    </row>
    <row r="131" spans="20:22" x14ac:dyDescent="0.3">
      <c r="T131" s="39">
        <v>47362</v>
      </c>
      <c r="U131" s="39">
        <f t="shared" si="2"/>
        <v>47391</v>
      </c>
      <c r="V131" s="40">
        <f>SUMIFS(Income_Tracker_Table[Amount Earned],Income_Tracker_Table[Date Received],"&gt;="&amp;T131,Income_Tracker_Table[Date Received],"&lt;="&amp;U131)</f>
        <v>0</v>
      </c>
    </row>
    <row r="132" spans="20:22" x14ac:dyDescent="0.3">
      <c r="T132" s="39">
        <v>47392</v>
      </c>
      <c r="U132" s="39">
        <f t="shared" si="2"/>
        <v>47422</v>
      </c>
      <c r="V132" s="40">
        <f>SUMIFS(Income_Tracker_Table[Amount Earned],Income_Tracker_Table[Date Received],"&gt;="&amp;T132,Income_Tracker_Table[Date Received],"&lt;="&amp;U132)</f>
        <v>0</v>
      </c>
    </row>
    <row r="133" spans="20:22" x14ac:dyDescent="0.3">
      <c r="T133" s="39">
        <v>47423</v>
      </c>
      <c r="U133" s="39">
        <f t="shared" si="2"/>
        <v>47452</v>
      </c>
      <c r="V133" s="40">
        <f>SUMIFS(Income_Tracker_Table[Amount Earned],Income_Tracker_Table[Date Received],"&gt;="&amp;T133,Income_Tracker_Table[Date Received],"&lt;="&amp;U133)</f>
        <v>0</v>
      </c>
    </row>
    <row r="134" spans="20:22" x14ac:dyDescent="0.3">
      <c r="T134" s="39">
        <v>47453</v>
      </c>
      <c r="U134" s="39">
        <f t="shared" si="2"/>
        <v>47483</v>
      </c>
      <c r="V134" s="40">
        <f>SUMIFS(Income_Tracker_Table[Amount Earned],Income_Tracker_Table[Date Received],"&gt;="&amp;T134,Income_Tracker_Table[Date Received],"&lt;="&amp;U134)</f>
        <v>0</v>
      </c>
    </row>
    <row r="135" spans="20:22" x14ac:dyDescent="0.3">
      <c r="T135" s="39">
        <v>47484</v>
      </c>
      <c r="U135" s="39">
        <f t="shared" si="2"/>
        <v>47514</v>
      </c>
      <c r="V135" s="40">
        <f>SUMIFS(Income_Tracker_Table[Amount Earned],Income_Tracker_Table[Date Received],"&gt;="&amp;T135,Income_Tracker_Table[Date Received],"&lt;="&amp;U135)</f>
        <v>10000</v>
      </c>
    </row>
    <row r="136" spans="20:22" x14ac:dyDescent="0.3">
      <c r="T136" s="39">
        <v>47515</v>
      </c>
      <c r="U136" s="39">
        <f t="shared" si="2"/>
        <v>47542</v>
      </c>
      <c r="V136" s="40">
        <f>SUMIFS(Income_Tracker_Table[Amount Earned],Income_Tracker_Table[Date Received],"&gt;="&amp;T136,Income_Tracker_Table[Date Received],"&lt;="&amp;U136)</f>
        <v>0</v>
      </c>
    </row>
    <row r="137" spans="20:22" x14ac:dyDescent="0.3">
      <c r="T137" s="39">
        <v>47543</v>
      </c>
      <c r="U137" s="39">
        <f t="shared" ref="U137:U200" si="3">EOMONTH(T137,0)</f>
        <v>47573</v>
      </c>
      <c r="V137" s="40">
        <f>SUMIFS(Income_Tracker_Table[Amount Earned],Income_Tracker_Table[Date Received],"&gt;="&amp;T137,Income_Tracker_Table[Date Received],"&lt;="&amp;U137)</f>
        <v>0</v>
      </c>
    </row>
    <row r="138" spans="20:22" x14ac:dyDescent="0.3">
      <c r="T138" s="39">
        <v>47574</v>
      </c>
      <c r="U138" s="39">
        <f t="shared" si="3"/>
        <v>47603</v>
      </c>
      <c r="V138" s="40">
        <f>SUMIFS(Income_Tracker_Table[Amount Earned],Income_Tracker_Table[Date Received],"&gt;="&amp;T138,Income_Tracker_Table[Date Received],"&lt;="&amp;U138)</f>
        <v>0</v>
      </c>
    </row>
    <row r="139" spans="20:22" x14ac:dyDescent="0.3">
      <c r="T139" s="39">
        <v>47604</v>
      </c>
      <c r="U139" s="39">
        <f t="shared" si="3"/>
        <v>47634</v>
      </c>
      <c r="V139" s="40">
        <f>SUMIFS(Income_Tracker_Table[Amount Earned],Income_Tracker_Table[Date Received],"&gt;="&amp;T139,Income_Tracker_Table[Date Received],"&lt;="&amp;U139)</f>
        <v>0</v>
      </c>
    </row>
    <row r="140" spans="20:22" x14ac:dyDescent="0.3">
      <c r="T140" s="39">
        <v>47635</v>
      </c>
      <c r="U140" s="39">
        <f t="shared" si="3"/>
        <v>47664</v>
      </c>
      <c r="V140" s="40">
        <f>SUMIFS(Income_Tracker_Table[Amount Earned],Income_Tracker_Table[Date Received],"&gt;="&amp;T140,Income_Tracker_Table[Date Received],"&lt;="&amp;U140)</f>
        <v>0</v>
      </c>
    </row>
    <row r="141" spans="20:22" x14ac:dyDescent="0.3">
      <c r="T141" s="39">
        <v>47665</v>
      </c>
      <c r="U141" s="39">
        <f t="shared" si="3"/>
        <v>47695</v>
      </c>
      <c r="V141" s="40">
        <f>SUMIFS(Income_Tracker_Table[Amount Earned],Income_Tracker_Table[Date Received],"&gt;="&amp;T141,Income_Tracker_Table[Date Received],"&lt;="&amp;U141)</f>
        <v>0</v>
      </c>
    </row>
    <row r="142" spans="20:22" x14ac:dyDescent="0.3">
      <c r="T142" s="39">
        <v>47696</v>
      </c>
      <c r="U142" s="39">
        <f t="shared" si="3"/>
        <v>47726</v>
      </c>
      <c r="V142" s="40">
        <f>SUMIFS(Income_Tracker_Table[Amount Earned],Income_Tracker_Table[Date Received],"&gt;="&amp;T142,Income_Tracker_Table[Date Received],"&lt;="&amp;U142)</f>
        <v>0</v>
      </c>
    </row>
    <row r="143" spans="20:22" x14ac:dyDescent="0.3">
      <c r="T143" s="39">
        <v>47727</v>
      </c>
      <c r="U143" s="39">
        <f t="shared" si="3"/>
        <v>47756</v>
      </c>
      <c r="V143" s="40">
        <f>SUMIFS(Income_Tracker_Table[Amount Earned],Income_Tracker_Table[Date Received],"&gt;="&amp;T143,Income_Tracker_Table[Date Received],"&lt;="&amp;U143)</f>
        <v>0</v>
      </c>
    </row>
    <row r="144" spans="20:22" x14ac:dyDescent="0.3">
      <c r="T144" s="39">
        <v>47757</v>
      </c>
      <c r="U144" s="39">
        <f t="shared" si="3"/>
        <v>47787</v>
      </c>
      <c r="V144" s="40">
        <f>SUMIFS(Income_Tracker_Table[Amount Earned],Income_Tracker_Table[Date Received],"&gt;="&amp;T144,Income_Tracker_Table[Date Received],"&lt;="&amp;U144)</f>
        <v>0</v>
      </c>
    </row>
    <row r="145" spans="20:22" x14ac:dyDescent="0.3">
      <c r="T145" s="39">
        <v>47788</v>
      </c>
      <c r="U145" s="39">
        <f t="shared" si="3"/>
        <v>47817</v>
      </c>
      <c r="V145" s="40">
        <f>SUMIFS(Income_Tracker_Table[Amount Earned],Income_Tracker_Table[Date Received],"&gt;="&amp;T145,Income_Tracker_Table[Date Received],"&lt;="&amp;U145)</f>
        <v>0</v>
      </c>
    </row>
    <row r="146" spans="20:22" x14ac:dyDescent="0.3">
      <c r="T146" s="39">
        <v>47818</v>
      </c>
      <c r="U146" s="39">
        <f t="shared" si="3"/>
        <v>47848</v>
      </c>
      <c r="V146" s="40">
        <f>SUMIFS(Income_Tracker_Table[Amount Earned],Income_Tracker_Table[Date Received],"&gt;="&amp;T146,Income_Tracker_Table[Date Received],"&lt;="&amp;U146)</f>
        <v>0</v>
      </c>
    </row>
    <row r="147" spans="20:22" x14ac:dyDescent="0.3">
      <c r="T147" s="39">
        <v>47849</v>
      </c>
      <c r="U147" s="39">
        <f t="shared" si="3"/>
        <v>47879</v>
      </c>
      <c r="V147" s="40">
        <f>SUMIFS(Income_Tracker_Table[Amount Earned],Income_Tracker_Table[Date Received],"&gt;="&amp;T147,Income_Tracker_Table[Date Received],"&lt;="&amp;U147)</f>
        <v>0</v>
      </c>
    </row>
    <row r="148" spans="20:22" x14ac:dyDescent="0.3">
      <c r="T148" s="39">
        <v>47880</v>
      </c>
      <c r="U148" s="39">
        <f t="shared" si="3"/>
        <v>47907</v>
      </c>
      <c r="V148" s="40">
        <f>SUMIFS(Income_Tracker_Table[Amount Earned],Income_Tracker_Table[Date Received],"&gt;="&amp;T148,Income_Tracker_Table[Date Received],"&lt;="&amp;U148)</f>
        <v>0</v>
      </c>
    </row>
    <row r="149" spans="20:22" x14ac:dyDescent="0.3">
      <c r="T149" s="39">
        <v>47908</v>
      </c>
      <c r="U149" s="39">
        <f t="shared" si="3"/>
        <v>47938</v>
      </c>
      <c r="V149" s="40">
        <f>SUMIFS(Income_Tracker_Table[Amount Earned],Income_Tracker_Table[Date Received],"&gt;="&amp;T149,Income_Tracker_Table[Date Received],"&lt;="&amp;U149)</f>
        <v>0</v>
      </c>
    </row>
    <row r="150" spans="20:22" x14ac:dyDescent="0.3">
      <c r="T150" s="39">
        <v>47939</v>
      </c>
      <c r="U150" s="39">
        <f t="shared" si="3"/>
        <v>47968</v>
      </c>
      <c r="V150" s="40">
        <f>SUMIFS(Income_Tracker_Table[Amount Earned],Income_Tracker_Table[Date Received],"&gt;="&amp;T150,Income_Tracker_Table[Date Received],"&lt;="&amp;U150)</f>
        <v>0</v>
      </c>
    </row>
    <row r="151" spans="20:22" x14ac:dyDescent="0.3">
      <c r="T151" s="39">
        <v>47969</v>
      </c>
      <c r="U151" s="39">
        <f t="shared" si="3"/>
        <v>47999</v>
      </c>
      <c r="V151" s="40">
        <f>SUMIFS(Income_Tracker_Table[Amount Earned],Income_Tracker_Table[Date Received],"&gt;="&amp;T151,Income_Tracker_Table[Date Received],"&lt;="&amp;U151)</f>
        <v>0</v>
      </c>
    </row>
    <row r="152" spans="20:22" x14ac:dyDescent="0.3">
      <c r="T152" s="39">
        <v>48000</v>
      </c>
      <c r="U152" s="39">
        <f t="shared" si="3"/>
        <v>48029</v>
      </c>
      <c r="V152" s="40">
        <f>SUMIFS(Income_Tracker_Table[Amount Earned],Income_Tracker_Table[Date Received],"&gt;="&amp;T152,Income_Tracker_Table[Date Received],"&lt;="&amp;U152)</f>
        <v>0</v>
      </c>
    </row>
    <row r="153" spans="20:22" x14ac:dyDescent="0.3">
      <c r="T153" s="39">
        <v>48030</v>
      </c>
      <c r="U153" s="39">
        <f t="shared" si="3"/>
        <v>48060</v>
      </c>
      <c r="V153" s="40">
        <f>SUMIFS(Income_Tracker_Table[Amount Earned],Income_Tracker_Table[Date Received],"&gt;="&amp;T153,Income_Tracker_Table[Date Received],"&lt;="&amp;U153)</f>
        <v>0</v>
      </c>
    </row>
    <row r="154" spans="20:22" x14ac:dyDescent="0.3">
      <c r="T154" s="39">
        <v>48061</v>
      </c>
      <c r="U154" s="39">
        <f t="shared" si="3"/>
        <v>48091</v>
      </c>
      <c r="V154" s="40">
        <f>SUMIFS(Income_Tracker_Table[Amount Earned],Income_Tracker_Table[Date Received],"&gt;="&amp;T154,Income_Tracker_Table[Date Received],"&lt;="&amp;U154)</f>
        <v>0</v>
      </c>
    </row>
    <row r="155" spans="20:22" x14ac:dyDescent="0.3">
      <c r="T155" s="39">
        <v>48092</v>
      </c>
      <c r="U155" s="39">
        <f t="shared" si="3"/>
        <v>48121</v>
      </c>
      <c r="V155" s="40">
        <f>SUMIFS(Income_Tracker_Table[Amount Earned],Income_Tracker_Table[Date Received],"&gt;="&amp;T155,Income_Tracker_Table[Date Received],"&lt;="&amp;U155)</f>
        <v>0</v>
      </c>
    </row>
    <row r="156" spans="20:22" x14ac:dyDescent="0.3">
      <c r="T156" s="39">
        <v>48122</v>
      </c>
      <c r="U156" s="39">
        <f t="shared" si="3"/>
        <v>48152</v>
      </c>
      <c r="V156" s="40">
        <f>SUMIFS(Income_Tracker_Table[Amount Earned],Income_Tracker_Table[Date Received],"&gt;="&amp;T156,Income_Tracker_Table[Date Received],"&lt;="&amp;U156)</f>
        <v>0</v>
      </c>
    </row>
    <row r="157" spans="20:22" x14ac:dyDescent="0.3">
      <c r="T157" s="39">
        <v>48153</v>
      </c>
      <c r="U157" s="39">
        <f t="shared" si="3"/>
        <v>48182</v>
      </c>
      <c r="V157" s="40">
        <f>SUMIFS(Income_Tracker_Table[Amount Earned],Income_Tracker_Table[Date Received],"&gt;="&amp;T157,Income_Tracker_Table[Date Received],"&lt;="&amp;U157)</f>
        <v>0</v>
      </c>
    </row>
    <row r="158" spans="20:22" x14ac:dyDescent="0.3">
      <c r="T158" s="39">
        <v>48183</v>
      </c>
      <c r="U158" s="39">
        <f t="shared" si="3"/>
        <v>48213</v>
      </c>
      <c r="V158" s="40">
        <f>SUMIFS(Income_Tracker_Table[Amount Earned],Income_Tracker_Table[Date Received],"&gt;="&amp;T158,Income_Tracker_Table[Date Received],"&lt;="&amp;U158)</f>
        <v>0</v>
      </c>
    </row>
    <row r="159" spans="20:22" x14ac:dyDescent="0.3">
      <c r="T159" s="39">
        <v>48214</v>
      </c>
      <c r="U159" s="39">
        <f t="shared" si="3"/>
        <v>48244</v>
      </c>
      <c r="V159" s="40">
        <f>SUMIFS(Income_Tracker_Table[Amount Earned],Income_Tracker_Table[Date Received],"&gt;="&amp;T159,Income_Tracker_Table[Date Received],"&lt;="&amp;U159)</f>
        <v>0</v>
      </c>
    </row>
    <row r="160" spans="20:22" x14ac:dyDescent="0.3">
      <c r="T160" s="39">
        <v>48245</v>
      </c>
      <c r="U160" s="39">
        <f t="shared" si="3"/>
        <v>48273</v>
      </c>
      <c r="V160" s="40">
        <f>SUMIFS(Income_Tracker_Table[Amount Earned],Income_Tracker_Table[Date Received],"&gt;="&amp;T160,Income_Tracker_Table[Date Received],"&lt;="&amp;U160)</f>
        <v>0</v>
      </c>
    </row>
    <row r="161" spans="20:22" x14ac:dyDescent="0.3">
      <c r="T161" s="39">
        <v>48274</v>
      </c>
      <c r="U161" s="39">
        <f t="shared" si="3"/>
        <v>48304</v>
      </c>
      <c r="V161" s="40">
        <f>SUMIFS(Income_Tracker_Table[Amount Earned],Income_Tracker_Table[Date Received],"&gt;="&amp;T161,Income_Tracker_Table[Date Received],"&lt;="&amp;U161)</f>
        <v>0</v>
      </c>
    </row>
    <row r="162" spans="20:22" x14ac:dyDescent="0.3">
      <c r="T162" s="39">
        <v>48305</v>
      </c>
      <c r="U162" s="39">
        <f t="shared" si="3"/>
        <v>48334</v>
      </c>
      <c r="V162" s="40">
        <f>SUMIFS(Income_Tracker_Table[Amount Earned],Income_Tracker_Table[Date Received],"&gt;="&amp;T162,Income_Tracker_Table[Date Received],"&lt;="&amp;U162)</f>
        <v>0</v>
      </c>
    </row>
    <row r="163" spans="20:22" x14ac:dyDescent="0.3">
      <c r="T163" s="39">
        <v>48335</v>
      </c>
      <c r="U163" s="39">
        <f t="shared" si="3"/>
        <v>48365</v>
      </c>
      <c r="V163" s="40">
        <f>SUMIFS(Income_Tracker_Table[Amount Earned],Income_Tracker_Table[Date Received],"&gt;="&amp;T163,Income_Tracker_Table[Date Received],"&lt;="&amp;U163)</f>
        <v>0</v>
      </c>
    </row>
    <row r="164" spans="20:22" x14ac:dyDescent="0.3">
      <c r="T164" s="39">
        <v>48366</v>
      </c>
      <c r="U164" s="39">
        <f t="shared" si="3"/>
        <v>48395</v>
      </c>
      <c r="V164" s="40">
        <f>SUMIFS(Income_Tracker_Table[Amount Earned],Income_Tracker_Table[Date Received],"&gt;="&amp;T164,Income_Tracker_Table[Date Received],"&lt;="&amp;U164)</f>
        <v>0</v>
      </c>
    </row>
    <row r="165" spans="20:22" x14ac:dyDescent="0.3">
      <c r="T165" s="39">
        <v>48396</v>
      </c>
      <c r="U165" s="39">
        <f t="shared" si="3"/>
        <v>48426</v>
      </c>
      <c r="V165" s="40">
        <f>SUMIFS(Income_Tracker_Table[Amount Earned],Income_Tracker_Table[Date Received],"&gt;="&amp;T165,Income_Tracker_Table[Date Received],"&lt;="&amp;U165)</f>
        <v>0</v>
      </c>
    </row>
    <row r="166" spans="20:22" x14ac:dyDescent="0.3">
      <c r="T166" s="39">
        <v>48427</v>
      </c>
      <c r="U166" s="39">
        <f t="shared" si="3"/>
        <v>48457</v>
      </c>
      <c r="V166" s="40">
        <f>SUMIFS(Income_Tracker_Table[Amount Earned],Income_Tracker_Table[Date Received],"&gt;="&amp;T166,Income_Tracker_Table[Date Received],"&lt;="&amp;U166)</f>
        <v>0</v>
      </c>
    </row>
    <row r="167" spans="20:22" x14ac:dyDescent="0.3">
      <c r="T167" s="39">
        <v>48458</v>
      </c>
      <c r="U167" s="39">
        <f t="shared" si="3"/>
        <v>48487</v>
      </c>
      <c r="V167" s="40">
        <f>SUMIFS(Income_Tracker_Table[Amount Earned],Income_Tracker_Table[Date Received],"&gt;="&amp;T167,Income_Tracker_Table[Date Received],"&lt;="&amp;U167)</f>
        <v>0</v>
      </c>
    </row>
    <row r="168" spans="20:22" x14ac:dyDescent="0.3">
      <c r="T168" s="39">
        <v>48488</v>
      </c>
      <c r="U168" s="39">
        <f t="shared" si="3"/>
        <v>48518</v>
      </c>
      <c r="V168" s="40">
        <f>SUMIFS(Income_Tracker_Table[Amount Earned],Income_Tracker_Table[Date Received],"&gt;="&amp;T168,Income_Tracker_Table[Date Received],"&lt;="&amp;U168)</f>
        <v>0</v>
      </c>
    </row>
    <row r="169" spans="20:22" x14ac:dyDescent="0.3">
      <c r="T169" s="39">
        <v>48519</v>
      </c>
      <c r="U169" s="39">
        <f t="shared" si="3"/>
        <v>48548</v>
      </c>
      <c r="V169" s="40">
        <f>SUMIFS(Income_Tracker_Table[Amount Earned],Income_Tracker_Table[Date Received],"&gt;="&amp;T169,Income_Tracker_Table[Date Received],"&lt;="&amp;U169)</f>
        <v>0</v>
      </c>
    </row>
    <row r="170" spans="20:22" x14ac:dyDescent="0.3">
      <c r="T170" s="39">
        <v>48549</v>
      </c>
      <c r="U170" s="39">
        <f t="shared" si="3"/>
        <v>48579</v>
      </c>
      <c r="V170" s="40">
        <f>SUMIFS(Income_Tracker_Table[Amount Earned],Income_Tracker_Table[Date Received],"&gt;="&amp;T170,Income_Tracker_Table[Date Received],"&lt;="&amp;U170)</f>
        <v>0</v>
      </c>
    </row>
    <row r="171" spans="20:22" x14ac:dyDescent="0.3">
      <c r="T171" s="39">
        <v>48580</v>
      </c>
      <c r="U171" s="39">
        <f t="shared" si="3"/>
        <v>48610</v>
      </c>
      <c r="V171" s="40">
        <f>SUMIFS(Income_Tracker_Table[Amount Earned],Income_Tracker_Table[Date Received],"&gt;="&amp;T171,Income_Tracker_Table[Date Received],"&lt;="&amp;U171)</f>
        <v>0</v>
      </c>
    </row>
    <row r="172" spans="20:22" x14ac:dyDescent="0.3">
      <c r="T172" s="39">
        <v>48611</v>
      </c>
      <c r="U172" s="39">
        <f t="shared" si="3"/>
        <v>48638</v>
      </c>
      <c r="V172" s="40">
        <f>SUMIFS(Income_Tracker_Table[Amount Earned],Income_Tracker_Table[Date Received],"&gt;="&amp;T172,Income_Tracker_Table[Date Received],"&lt;="&amp;U172)</f>
        <v>0</v>
      </c>
    </row>
    <row r="173" spans="20:22" x14ac:dyDescent="0.3">
      <c r="T173" s="39">
        <v>48639</v>
      </c>
      <c r="U173" s="39">
        <f t="shared" si="3"/>
        <v>48669</v>
      </c>
      <c r="V173" s="40">
        <f>SUMIFS(Income_Tracker_Table[Amount Earned],Income_Tracker_Table[Date Received],"&gt;="&amp;T173,Income_Tracker_Table[Date Received],"&lt;="&amp;U173)</f>
        <v>0</v>
      </c>
    </row>
    <row r="174" spans="20:22" x14ac:dyDescent="0.3">
      <c r="T174" s="39">
        <v>48670</v>
      </c>
      <c r="U174" s="39">
        <f t="shared" si="3"/>
        <v>48699</v>
      </c>
      <c r="V174" s="40">
        <f>SUMIFS(Income_Tracker_Table[Amount Earned],Income_Tracker_Table[Date Received],"&gt;="&amp;T174,Income_Tracker_Table[Date Received],"&lt;="&amp;U174)</f>
        <v>0</v>
      </c>
    </row>
    <row r="175" spans="20:22" x14ac:dyDescent="0.3">
      <c r="T175" s="39">
        <v>48700</v>
      </c>
      <c r="U175" s="39">
        <f t="shared" si="3"/>
        <v>48730</v>
      </c>
      <c r="V175" s="40">
        <f>SUMIFS(Income_Tracker_Table[Amount Earned],Income_Tracker_Table[Date Received],"&gt;="&amp;T175,Income_Tracker_Table[Date Received],"&lt;="&amp;U175)</f>
        <v>0</v>
      </c>
    </row>
    <row r="176" spans="20:22" x14ac:dyDescent="0.3">
      <c r="T176" s="39">
        <v>48731</v>
      </c>
      <c r="U176" s="39">
        <f t="shared" si="3"/>
        <v>48760</v>
      </c>
      <c r="V176" s="40">
        <f>SUMIFS(Income_Tracker_Table[Amount Earned],Income_Tracker_Table[Date Received],"&gt;="&amp;T176,Income_Tracker_Table[Date Received],"&lt;="&amp;U176)</f>
        <v>0</v>
      </c>
    </row>
    <row r="177" spans="20:22" x14ac:dyDescent="0.3">
      <c r="T177" s="39">
        <v>48761</v>
      </c>
      <c r="U177" s="39">
        <f t="shared" si="3"/>
        <v>48791</v>
      </c>
      <c r="V177" s="40">
        <f>SUMIFS(Income_Tracker_Table[Amount Earned],Income_Tracker_Table[Date Received],"&gt;="&amp;T177,Income_Tracker_Table[Date Received],"&lt;="&amp;U177)</f>
        <v>0</v>
      </c>
    </row>
    <row r="178" spans="20:22" x14ac:dyDescent="0.3">
      <c r="T178" s="39">
        <v>48792</v>
      </c>
      <c r="U178" s="39">
        <f t="shared" si="3"/>
        <v>48822</v>
      </c>
      <c r="V178" s="40">
        <f>SUMIFS(Income_Tracker_Table[Amount Earned],Income_Tracker_Table[Date Received],"&gt;="&amp;T178,Income_Tracker_Table[Date Received],"&lt;="&amp;U178)</f>
        <v>0</v>
      </c>
    </row>
    <row r="179" spans="20:22" x14ac:dyDescent="0.3">
      <c r="T179" s="39">
        <v>48823</v>
      </c>
      <c r="U179" s="39">
        <f t="shared" si="3"/>
        <v>48852</v>
      </c>
      <c r="V179" s="40">
        <f>SUMIFS(Income_Tracker_Table[Amount Earned],Income_Tracker_Table[Date Received],"&gt;="&amp;T179,Income_Tracker_Table[Date Received],"&lt;="&amp;U179)</f>
        <v>0</v>
      </c>
    </row>
    <row r="180" spans="20:22" x14ac:dyDescent="0.3">
      <c r="T180" s="39">
        <v>48853</v>
      </c>
      <c r="U180" s="39">
        <f t="shared" si="3"/>
        <v>48883</v>
      </c>
      <c r="V180" s="40">
        <f>SUMIFS(Income_Tracker_Table[Amount Earned],Income_Tracker_Table[Date Received],"&gt;="&amp;T180,Income_Tracker_Table[Date Received],"&lt;="&amp;U180)</f>
        <v>0</v>
      </c>
    </row>
    <row r="181" spans="20:22" x14ac:dyDescent="0.3">
      <c r="T181" s="39">
        <v>48884</v>
      </c>
      <c r="U181" s="39">
        <f t="shared" si="3"/>
        <v>48913</v>
      </c>
      <c r="V181" s="40">
        <f>SUMIFS(Income_Tracker_Table[Amount Earned],Income_Tracker_Table[Date Received],"&gt;="&amp;T181,Income_Tracker_Table[Date Received],"&lt;="&amp;U181)</f>
        <v>0</v>
      </c>
    </row>
    <row r="182" spans="20:22" x14ac:dyDescent="0.3">
      <c r="T182" s="39">
        <v>48914</v>
      </c>
      <c r="U182" s="39">
        <f t="shared" si="3"/>
        <v>48944</v>
      </c>
      <c r="V182" s="40">
        <f>SUMIFS(Income_Tracker_Table[Amount Earned],Income_Tracker_Table[Date Received],"&gt;="&amp;T182,Income_Tracker_Table[Date Received],"&lt;="&amp;U182)</f>
        <v>0</v>
      </c>
    </row>
    <row r="183" spans="20:22" x14ac:dyDescent="0.3">
      <c r="T183" s="39">
        <v>48945</v>
      </c>
      <c r="U183" s="39">
        <f t="shared" si="3"/>
        <v>48975</v>
      </c>
      <c r="V183" s="40">
        <f>SUMIFS(Income_Tracker_Table[Amount Earned],Income_Tracker_Table[Date Received],"&gt;="&amp;T183,Income_Tracker_Table[Date Received],"&lt;="&amp;U183)</f>
        <v>0</v>
      </c>
    </row>
    <row r="184" spans="20:22" x14ac:dyDescent="0.3">
      <c r="T184" s="39">
        <v>48976</v>
      </c>
      <c r="U184" s="39">
        <f t="shared" si="3"/>
        <v>49003</v>
      </c>
      <c r="V184" s="40">
        <f>SUMIFS(Income_Tracker_Table[Amount Earned],Income_Tracker_Table[Date Received],"&gt;="&amp;T184,Income_Tracker_Table[Date Received],"&lt;="&amp;U184)</f>
        <v>0</v>
      </c>
    </row>
    <row r="185" spans="20:22" x14ac:dyDescent="0.3">
      <c r="T185" s="39">
        <v>49004</v>
      </c>
      <c r="U185" s="39">
        <f t="shared" si="3"/>
        <v>49034</v>
      </c>
      <c r="V185" s="40">
        <f>SUMIFS(Income_Tracker_Table[Amount Earned],Income_Tracker_Table[Date Received],"&gt;="&amp;T185,Income_Tracker_Table[Date Received],"&lt;="&amp;U185)</f>
        <v>0</v>
      </c>
    </row>
    <row r="186" spans="20:22" x14ac:dyDescent="0.3">
      <c r="T186" s="39">
        <v>49035</v>
      </c>
      <c r="U186" s="39">
        <f t="shared" si="3"/>
        <v>49064</v>
      </c>
      <c r="V186" s="40">
        <f>SUMIFS(Income_Tracker_Table[Amount Earned],Income_Tracker_Table[Date Received],"&gt;="&amp;T186,Income_Tracker_Table[Date Received],"&lt;="&amp;U186)</f>
        <v>0</v>
      </c>
    </row>
    <row r="187" spans="20:22" x14ac:dyDescent="0.3">
      <c r="T187" s="39">
        <v>49065</v>
      </c>
      <c r="U187" s="39">
        <f t="shared" si="3"/>
        <v>49095</v>
      </c>
      <c r="V187" s="40">
        <f>SUMIFS(Income_Tracker_Table[Amount Earned],Income_Tracker_Table[Date Received],"&gt;="&amp;T187,Income_Tracker_Table[Date Received],"&lt;="&amp;U187)</f>
        <v>0</v>
      </c>
    </row>
    <row r="188" spans="20:22" x14ac:dyDescent="0.3">
      <c r="T188" s="39">
        <v>49096</v>
      </c>
      <c r="U188" s="39">
        <f t="shared" si="3"/>
        <v>49125</v>
      </c>
      <c r="V188" s="40">
        <f>SUMIFS(Income_Tracker_Table[Amount Earned],Income_Tracker_Table[Date Received],"&gt;="&amp;T188,Income_Tracker_Table[Date Received],"&lt;="&amp;U188)</f>
        <v>0</v>
      </c>
    </row>
    <row r="189" spans="20:22" x14ac:dyDescent="0.3">
      <c r="T189" s="39">
        <v>49126</v>
      </c>
      <c r="U189" s="39">
        <f t="shared" si="3"/>
        <v>49156</v>
      </c>
      <c r="V189" s="40">
        <f>SUMIFS(Income_Tracker_Table[Amount Earned],Income_Tracker_Table[Date Received],"&gt;="&amp;T189,Income_Tracker_Table[Date Received],"&lt;="&amp;U189)</f>
        <v>0</v>
      </c>
    </row>
    <row r="190" spans="20:22" x14ac:dyDescent="0.3">
      <c r="T190" s="39">
        <v>49157</v>
      </c>
      <c r="U190" s="39">
        <f t="shared" si="3"/>
        <v>49187</v>
      </c>
      <c r="V190" s="40">
        <f>SUMIFS(Income_Tracker_Table[Amount Earned],Income_Tracker_Table[Date Received],"&gt;="&amp;T190,Income_Tracker_Table[Date Received],"&lt;="&amp;U190)</f>
        <v>0</v>
      </c>
    </row>
    <row r="191" spans="20:22" x14ac:dyDescent="0.3">
      <c r="T191" s="39">
        <v>49188</v>
      </c>
      <c r="U191" s="39">
        <f t="shared" si="3"/>
        <v>49217</v>
      </c>
      <c r="V191" s="40">
        <f>SUMIFS(Income_Tracker_Table[Amount Earned],Income_Tracker_Table[Date Received],"&gt;="&amp;T191,Income_Tracker_Table[Date Received],"&lt;="&amp;U191)</f>
        <v>0</v>
      </c>
    </row>
    <row r="192" spans="20:22" x14ac:dyDescent="0.3">
      <c r="T192" s="39">
        <v>49218</v>
      </c>
      <c r="U192" s="39">
        <f t="shared" si="3"/>
        <v>49248</v>
      </c>
      <c r="V192" s="40">
        <f>SUMIFS(Income_Tracker_Table[Amount Earned],Income_Tracker_Table[Date Received],"&gt;="&amp;T192,Income_Tracker_Table[Date Received],"&lt;="&amp;U192)</f>
        <v>0</v>
      </c>
    </row>
    <row r="193" spans="20:22" x14ac:dyDescent="0.3">
      <c r="T193" s="39">
        <v>49249</v>
      </c>
      <c r="U193" s="39">
        <f t="shared" si="3"/>
        <v>49278</v>
      </c>
      <c r="V193" s="40">
        <f>SUMIFS(Income_Tracker_Table[Amount Earned],Income_Tracker_Table[Date Received],"&gt;="&amp;T193,Income_Tracker_Table[Date Received],"&lt;="&amp;U193)</f>
        <v>0</v>
      </c>
    </row>
    <row r="194" spans="20:22" x14ac:dyDescent="0.3">
      <c r="T194" s="39">
        <v>49279</v>
      </c>
      <c r="U194" s="39">
        <f t="shared" si="3"/>
        <v>49309</v>
      </c>
      <c r="V194" s="40">
        <f>SUMIFS(Income_Tracker_Table[Amount Earned],Income_Tracker_Table[Date Received],"&gt;="&amp;T194,Income_Tracker_Table[Date Received],"&lt;="&amp;U194)</f>
        <v>0</v>
      </c>
    </row>
    <row r="195" spans="20:22" x14ac:dyDescent="0.3">
      <c r="T195" s="39">
        <v>49310</v>
      </c>
      <c r="U195" s="39">
        <f t="shared" si="3"/>
        <v>49340</v>
      </c>
      <c r="V195" s="40">
        <f>SUMIFS(Income_Tracker_Table[Amount Earned],Income_Tracker_Table[Date Received],"&gt;="&amp;T195,Income_Tracker_Table[Date Received],"&lt;="&amp;U195)</f>
        <v>0</v>
      </c>
    </row>
    <row r="196" spans="20:22" x14ac:dyDescent="0.3">
      <c r="T196" s="39">
        <v>49341</v>
      </c>
      <c r="U196" s="39">
        <f t="shared" si="3"/>
        <v>49368</v>
      </c>
      <c r="V196" s="40">
        <f>SUMIFS(Income_Tracker_Table[Amount Earned],Income_Tracker_Table[Date Received],"&gt;="&amp;T196,Income_Tracker_Table[Date Received],"&lt;="&amp;U196)</f>
        <v>0</v>
      </c>
    </row>
    <row r="197" spans="20:22" x14ac:dyDescent="0.3">
      <c r="T197" s="39">
        <v>49369</v>
      </c>
      <c r="U197" s="39">
        <f t="shared" si="3"/>
        <v>49399</v>
      </c>
      <c r="V197" s="40">
        <f>SUMIFS(Income_Tracker_Table[Amount Earned],Income_Tracker_Table[Date Received],"&gt;="&amp;T197,Income_Tracker_Table[Date Received],"&lt;="&amp;U197)</f>
        <v>0</v>
      </c>
    </row>
    <row r="198" spans="20:22" x14ac:dyDescent="0.3">
      <c r="T198" s="39">
        <v>49400</v>
      </c>
      <c r="U198" s="39">
        <f t="shared" si="3"/>
        <v>49429</v>
      </c>
      <c r="V198" s="40">
        <f>SUMIFS(Income_Tracker_Table[Amount Earned],Income_Tracker_Table[Date Received],"&gt;="&amp;T198,Income_Tracker_Table[Date Received],"&lt;="&amp;U198)</f>
        <v>0</v>
      </c>
    </row>
    <row r="199" spans="20:22" x14ac:dyDescent="0.3">
      <c r="T199" s="39">
        <v>49430</v>
      </c>
      <c r="U199" s="39">
        <f t="shared" si="3"/>
        <v>49460</v>
      </c>
      <c r="V199" s="40">
        <f>SUMIFS(Income_Tracker_Table[Amount Earned],Income_Tracker_Table[Date Received],"&gt;="&amp;T199,Income_Tracker_Table[Date Received],"&lt;="&amp;U199)</f>
        <v>0</v>
      </c>
    </row>
    <row r="200" spans="20:22" x14ac:dyDescent="0.3">
      <c r="T200" s="39">
        <v>49461</v>
      </c>
      <c r="U200" s="39">
        <f t="shared" si="3"/>
        <v>49490</v>
      </c>
      <c r="V200" s="40">
        <f>SUMIFS(Income_Tracker_Table[Amount Earned],Income_Tracker_Table[Date Received],"&gt;="&amp;T200,Income_Tracker_Table[Date Received],"&lt;="&amp;U200)</f>
        <v>0</v>
      </c>
    </row>
    <row r="201" spans="20:22" x14ac:dyDescent="0.3">
      <c r="T201" s="39">
        <v>49491</v>
      </c>
      <c r="U201" s="39">
        <f t="shared" ref="U201:U264" si="4">EOMONTH(T201,0)</f>
        <v>49521</v>
      </c>
      <c r="V201" s="40">
        <f>SUMIFS(Income_Tracker_Table[Amount Earned],Income_Tracker_Table[Date Received],"&gt;="&amp;T201,Income_Tracker_Table[Date Received],"&lt;="&amp;U201)</f>
        <v>0</v>
      </c>
    </row>
    <row r="202" spans="20:22" x14ac:dyDescent="0.3">
      <c r="T202" s="39">
        <v>49522</v>
      </c>
      <c r="U202" s="39">
        <f t="shared" si="4"/>
        <v>49552</v>
      </c>
      <c r="V202" s="40">
        <f>SUMIFS(Income_Tracker_Table[Amount Earned],Income_Tracker_Table[Date Received],"&gt;="&amp;T202,Income_Tracker_Table[Date Received],"&lt;="&amp;U202)</f>
        <v>0</v>
      </c>
    </row>
    <row r="203" spans="20:22" x14ac:dyDescent="0.3">
      <c r="T203" s="39">
        <v>49553</v>
      </c>
      <c r="U203" s="39">
        <f t="shared" si="4"/>
        <v>49582</v>
      </c>
      <c r="V203" s="40">
        <f>SUMIFS(Income_Tracker_Table[Amount Earned],Income_Tracker_Table[Date Received],"&gt;="&amp;T203,Income_Tracker_Table[Date Received],"&lt;="&amp;U203)</f>
        <v>0</v>
      </c>
    </row>
    <row r="204" spans="20:22" x14ac:dyDescent="0.3">
      <c r="T204" s="39">
        <v>49583</v>
      </c>
      <c r="U204" s="39">
        <f t="shared" si="4"/>
        <v>49613</v>
      </c>
      <c r="V204" s="40">
        <f>SUMIFS(Income_Tracker_Table[Amount Earned],Income_Tracker_Table[Date Received],"&gt;="&amp;T204,Income_Tracker_Table[Date Received],"&lt;="&amp;U204)</f>
        <v>0</v>
      </c>
    </row>
    <row r="205" spans="20:22" x14ac:dyDescent="0.3">
      <c r="T205" s="39">
        <v>49614</v>
      </c>
      <c r="U205" s="39">
        <f t="shared" si="4"/>
        <v>49643</v>
      </c>
      <c r="V205" s="40">
        <f>SUMIFS(Income_Tracker_Table[Amount Earned],Income_Tracker_Table[Date Received],"&gt;="&amp;T205,Income_Tracker_Table[Date Received],"&lt;="&amp;U205)</f>
        <v>0</v>
      </c>
    </row>
    <row r="206" spans="20:22" x14ac:dyDescent="0.3">
      <c r="T206" s="39">
        <v>49644</v>
      </c>
      <c r="U206" s="39">
        <f t="shared" si="4"/>
        <v>49674</v>
      </c>
      <c r="V206" s="40">
        <f>SUMIFS(Income_Tracker_Table[Amount Earned],Income_Tracker_Table[Date Received],"&gt;="&amp;T206,Income_Tracker_Table[Date Received],"&lt;="&amp;U206)</f>
        <v>0</v>
      </c>
    </row>
    <row r="207" spans="20:22" x14ac:dyDescent="0.3">
      <c r="T207" s="39">
        <v>49675</v>
      </c>
      <c r="U207" s="39">
        <f t="shared" si="4"/>
        <v>49705</v>
      </c>
      <c r="V207" s="40">
        <f>SUMIFS(Income_Tracker_Table[Amount Earned],Income_Tracker_Table[Date Received],"&gt;="&amp;T207,Income_Tracker_Table[Date Received],"&lt;="&amp;U207)</f>
        <v>0</v>
      </c>
    </row>
    <row r="208" spans="20:22" x14ac:dyDescent="0.3">
      <c r="T208" s="39">
        <v>49706</v>
      </c>
      <c r="U208" s="39">
        <f t="shared" si="4"/>
        <v>49734</v>
      </c>
      <c r="V208" s="40">
        <f>SUMIFS(Income_Tracker_Table[Amount Earned],Income_Tracker_Table[Date Received],"&gt;="&amp;T208,Income_Tracker_Table[Date Received],"&lt;="&amp;U208)</f>
        <v>0</v>
      </c>
    </row>
    <row r="209" spans="20:22" x14ac:dyDescent="0.3">
      <c r="T209" s="39">
        <v>49735</v>
      </c>
      <c r="U209" s="39">
        <f t="shared" si="4"/>
        <v>49765</v>
      </c>
      <c r="V209" s="40">
        <f>SUMIFS(Income_Tracker_Table[Amount Earned],Income_Tracker_Table[Date Received],"&gt;="&amp;T209,Income_Tracker_Table[Date Received],"&lt;="&amp;U209)</f>
        <v>0</v>
      </c>
    </row>
    <row r="210" spans="20:22" x14ac:dyDescent="0.3">
      <c r="T210" s="39">
        <v>49766</v>
      </c>
      <c r="U210" s="39">
        <f t="shared" si="4"/>
        <v>49795</v>
      </c>
      <c r="V210" s="40">
        <f>SUMIFS(Income_Tracker_Table[Amount Earned],Income_Tracker_Table[Date Received],"&gt;="&amp;T210,Income_Tracker_Table[Date Received],"&lt;="&amp;U210)</f>
        <v>0</v>
      </c>
    </row>
    <row r="211" spans="20:22" x14ac:dyDescent="0.3">
      <c r="T211" s="39">
        <v>49796</v>
      </c>
      <c r="U211" s="39">
        <f t="shared" si="4"/>
        <v>49826</v>
      </c>
      <c r="V211" s="40">
        <f>SUMIFS(Income_Tracker_Table[Amount Earned],Income_Tracker_Table[Date Received],"&gt;="&amp;T211,Income_Tracker_Table[Date Received],"&lt;="&amp;U211)</f>
        <v>0</v>
      </c>
    </row>
    <row r="212" spans="20:22" x14ac:dyDescent="0.3">
      <c r="T212" s="39">
        <v>49827</v>
      </c>
      <c r="U212" s="39">
        <f t="shared" si="4"/>
        <v>49856</v>
      </c>
      <c r="V212" s="40">
        <f>SUMIFS(Income_Tracker_Table[Amount Earned],Income_Tracker_Table[Date Received],"&gt;="&amp;T212,Income_Tracker_Table[Date Received],"&lt;="&amp;U212)</f>
        <v>0</v>
      </c>
    </row>
    <row r="213" spans="20:22" x14ac:dyDescent="0.3">
      <c r="T213" s="39">
        <v>49857</v>
      </c>
      <c r="U213" s="39">
        <f t="shared" si="4"/>
        <v>49887</v>
      </c>
      <c r="V213" s="40">
        <f>SUMIFS(Income_Tracker_Table[Amount Earned],Income_Tracker_Table[Date Received],"&gt;="&amp;T213,Income_Tracker_Table[Date Received],"&lt;="&amp;U213)</f>
        <v>0</v>
      </c>
    </row>
    <row r="214" spans="20:22" x14ac:dyDescent="0.3">
      <c r="T214" s="39">
        <v>49888</v>
      </c>
      <c r="U214" s="39">
        <f t="shared" si="4"/>
        <v>49918</v>
      </c>
      <c r="V214" s="40">
        <f>SUMIFS(Income_Tracker_Table[Amount Earned],Income_Tracker_Table[Date Received],"&gt;="&amp;T214,Income_Tracker_Table[Date Received],"&lt;="&amp;U214)</f>
        <v>0</v>
      </c>
    </row>
    <row r="215" spans="20:22" x14ac:dyDescent="0.3">
      <c r="T215" s="39">
        <v>49919</v>
      </c>
      <c r="U215" s="39">
        <f t="shared" si="4"/>
        <v>49948</v>
      </c>
      <c r="V215" s="40">
        <f>SUMIFS(Income_Tracker_Table[Amount Earned],Income_Tracker_Table[Date Received],"&gt;="&amp;T215,Income_Tracker_Table[Date Received],"&lt;="&amp;U215)</f>
        <v>0</v>
      </c>
    </row>
    <row r="216" spans="20:22" x14ac:dyDescent="0.3">
      <c r="T216" s="39">
        <v>49949</v>
      </c>
      <c r="U216" s="39">
        <f t="shared" si="4"/>
        <v>49979</v>
      </c>
      <c r="V216" s="40">
        <f>SUMIFS(Income_Tracker_Table[Amount Earned],Income_Tracker_Table[Date Received],"&gt;="&amp;T216,Income_Tracker_Table[Date Received],"&lt;="&amp;U216)</f>
        <v>0</v>
      </c>
    </row>
    <row r="217" spans="20:22" x14ac:dyDescent="0.3">
      <c r="T217" s="39">
        <v>49980</v>
      </c>
      <c r="U217" s="39">
        <f t="shared" si="4"/>
        <v>50009</v>
      </c>
      <c r="V217" s="40">
        <f>SUMIFS(Income_Tracker_Table[Amount Earned],Income_Tracker_Table[Date Received],"&gt;="&amp;T217,Income_Tracker_Table[Date Received],"&lt;="&amp;U217)</f>
        <v>0</v>
      </c>
    </row>
    <row r="218" spans="20:22" x14ac:dyDescent="0.3">
      <c r="T218" s="39">
        <v>50010</v>
      </c>
      <c r="U218" s="39">
        <f t="shared" si="4"/>
        <v>50040</v>
      </c>
      <c r="V218" s="40">
        <f>SUMIFS(Income_Tracker_Table[Amount Earned],Income_Tracker_Table[Date Received],"&gt;="&amp;T218,Income_Tracker_Table[Date Received],"&lt;="&amp;U218)</f>
        <v>0</v>
      </c>
    </row>
    <row r="219" spans="20:22" x14ac:dyDescent="0.3">
      <c r="T219" s="39">
        <v>50041</v>
      </c>
      <c r="U219" s="39">
        <f t="shared" si="4"/>
        <v>50071</v>
      </c>
      <c r="V219" s="40">
        <f>SUMIFS(Income_Tracker_Table[Amount Earned],Income_Tracker_Table[Date Received],"&gt;="&amp;T219,Income_Tracker_Table[Date Received],"&lt;="&amp;U219)</f>
        <v>0</v>
      </c>
    </row>
    <row r="220" spans="20:22" x14ac:dyDescent="0.3">
      <c r="T220" s="39">
        <v>50072</v>
      </c>
      <c r="U220" s="39">
        <f t="shared" si="4"/>
        <v>50099</v>
      </c>
      <c r="V220" s="40">
        <f>SUMIFS(Income_Tracker_Table[Amount Earned],Income_Tracker_Table[Date Received],"&gt;="&amp;T220,Income_Tracker_Table[Date Received],"&lt;="&amp;U220)</f>
        <v>0</v>
      </c>
    </row>
    <row r="221" spans="20:22" x14ac:dyDescent="0.3">
      <c r="T221" s="39">
        <v>50100</v>
      </c>
      <c r="U221" s="39">
        <f t="shared" si="4"/>
        <v>50130</v>
      </c>
      <c r="V221" s="40">
        <f>SUMIFS(Income_Tracker_Table[Amount Earned],Income_Tracker_Table[Date Received],"&gt;="&amp;T221,Income_Tracker_Table[Date Received],"&lt;="&amp;U221)</f>
        <v>0</v>
      </c>
    </row>
    <row r="222" spans="20:22" x14ac:dyDescent="0.3">
      <c r="T222" s="39">
        <v>50131</v>
      </c>
      <c r="U222" s="39">
        <f t="shared" si="4"/>
        <v>50160</v>
      </c>
      <c r="V222" s="40">
        <f>SUMIFS(Income_Tracker_Table[Amount Earned],Income_Tracker_Table[Date Received],"&gt;="&amp;T222,Income_Tracker_Table[Date Received],"&lt;="&amp;U222)</f>
        <v>0</v>
      </c>
    </row>
    <row r="223" spans="20:22" x14ac:dyDescent="0.3">
      <c r="T223" s="39">
        <v>50161</v>
      </c>
      <c r="U223" s="39">
        <f t="shared" si="4"/>
        <v>50191</v>
      </c>
      <c r="V223" s="40">
        <f>SUMIFS(Income_Tracker_Table[Amount Earned],Income_Tracker_Table[Date Received],"&gt;="&amp;T223,Income_Tracker_Table[Date Received],"&lt;="&amp;U223)</f>
        <v>0</v>
      </c>
    </row>
    <row r="224" spans="20:22" x14ac:dyDescent="0.3">
      <c r="T224" s="39">
        <v>50192</v>
      </c>
      <c r="U224" s="39">
        <f t="shared" si="4"/>
        <v>50221</v>
      </c>
      <c r="V224" s="40">
        <f>SUMIFS(Income_Tracker_Table[Amount Earned],Income_Tracker_Table[Date Received],"&gt;="&amp;T224,Income_Tracker_Table[Date Received],"&lt;="&amp;U224)</f>
        <v>0</v>
      </c>
    </row>
    <row r="225" spans="20:22" x14ac:dyDescent="0.3">
      <c r="T225" s="39">
        <v>50222</v>
      </c>
      <c r="U225" s="39">
        <f t="shared" si="4"/>
        <v>50252</v>
      </c>
      <c r="V225" s="40">
        <f>SUMIFS(Income_Tracker_Table[Amount Earned],Income_Tracker_Table[Date Received],"&gt;="&amp;T225,Income_Tracker_Table[Date Received],"&lt;="&amp;U225)</f>
        <v>0</v>
      </c>
    </row>
    <row r="226" spans="20:22" x14ac:dyDescent="0.3">
      <c r="T226" s="39">
        <v>50253</v>
      </c>
      <c r="U226" s="39">
        <f t="shared" si="4"/>
        <v>50283</v>
      </c>
      <c r="V226" s="40">
        <f>SUMIFS(Income_Tracker_Table[Amount Earned],Income_Tracker_Table[Date Received],"&gt;="&amp;T226,Income_Tracker_Table[Date Received],"&lt;="&amp;U226)</f>
        <v>0</v>
      </c>
    </row>
    <row r="227" spans="20:22" x14ac:dyDescent="0.3">
      <c r="T227" s="39">
        <v>50284</v>
      </c>
      <c r="U227" s="39">
        <f t="shared" si="4"/>
        <v>50313</v>
      </c>
      <c r="V227" s="40">
        <f>SUMIFS(Income_Tracker_Table[Amount Earned],Income_Tracker_Table[Date Received],"&gt;="&amp;T227,Income_Tracker_Table[Date Received],"&lt;="&amp;U227)</f>
        <v>0</v>
      </c>
    </row>
    <row r="228" spans="20:22" x14ac:dyDescent="0.3">
      <c r="T228" s="39">
        <v>50314</v>
      </c>
      <c r="U228" s="39">
        <f t="shared" si="4"/>
        <v>50344</v>
      </c>
      <c r="V228" s="40">
        <f>SUMIFS(Income_Tracker_Table[Amount Earned],Income_Tracker_Table[Date Received],"&gt;="&amp;T228,Income_Tracker_Table[Date Received],"&lt;="&amp;U228)</f>
        <v>0</v>
      </c>
    </row>
    <row r="229" spans="20:22" x14ac:dyDescent="0.3">
      <c r="T229" s="39">
        <v>50345</v>
      </c>
      <c r="U229" s="39">
        <f t="shared" si="4"/>
        <v>50374</v>
      </c>
      <c r="V229" s="40">
        <f>SUMIFS(Income_Tracker_Table[Amount Earned],Income_Tracker_Table[Date Received],"&gt;="&amp;T229,Income_Tracker_Table[Date Received],"&lt;="&amp;U229)</f>
        <v>0</v>
      </c>
    </row>
    <row r="230" spans="20:22" x14ac:dyDescent="0.3">
      <c r="T230" s="39">
        <v>50375</v>
      </c>
      <c r="U230" s="39">
        <f t="shared" si="4"/>
        <v>50405</v>
      </c>
      <c r="V230" s="40">
        <f>SUMIFS(Income_Tracker_Table[Amount Earned],Income_Tracker_Table[Date Received],"&gt;="&amp;T230,Income_Tracker_Table[Date Received],"&lt;="&amp;U230)</f>
        <v>0</v>
      </c>
    </row>
    <row r="231" spans="20:22" x14ac:dyDescent="0.3">
      <c r="T231" s="39">
        <v>50406</v>
      </c>
      <c r="U231" s="39">
        <f t="shared" si="4"/>
        <v>50436</v>
      </c>
      <c r="V231" s="40">
        <f>SUMIFS(Income_Tracker_Table[Amount Earned],Income_Tracker_Table[Date Received],"&gt;="&amp;T231,Income_Tracker_Table[Date Received],"&lt;="&amp;U231)</f>
        <v>0</v>
      </c>
    </row>
    <row r="232" spans="20:22" x14ac:dyDescent="0.3">
      <c r="T232" s="39">
        <v>50437</v>
      </c>
      <c r="U232" s="39">
        <f t="shared" si="4"/>
        <v>50464</v>
      </c>
      <c r="V232" s="40">
        <f>SUMIFS(Income_Tracker_Table[Amount Earned],Income_Tracker_Table[Date Received],"&gt;="&amp;T232,Income_Tracker_Table[Date Received],"&lt;="&amp;U232)</f>
        <v>0</v>
      </c>
    </row>
    <row r="233" spans="20:22" x14ac:dyDescent="0.3">
      <c r="T233" s="39">
        <v>50465</v>
      </c>
      <c r="U233" s="39">
        <f t="shared" si="4"/>
        <v>50495</v>
      </c>
      <c r="V233" s="40">
        <f>SUMIFS(Income_Tracker_Table[Amount Earned],Income_Tracker_Table[Date Received],"&gt;="&amp;T233,Income_Tracker_Table[Date Received],"&lt;="&amp;U233)</f>
        <v>0</v>
      </c>
    </row>
    <row r="234" spans="20:22" x14ac:dyDescent="0.3">
      <c r="T234" s="39">
        <v>50496</v>
      </c>
      <c r="U234" s="39">
        <f t="shared" si="4"/>
        <v>50525</v>
      </c>
      <c r="V234" s="40">
        <f>SUMIFS(Income_Tracker_Table[Amount Earned],Income_Tracker_Table[Date Received],"&gt;="&amp;T234,Income_Tracker_Table[Date Received],"&lt;="&amp;U234)</f>
        <v>0</v>
      </c>
    </row>
    <row r="235" spans="20:22" x14ac:dyDescent="0.3">
      <c r="T235" s="39">
        <v>50526</v>
      </c>
      <c r="U235" s="39">
        <f t="shared" si="4"/>
        <v>50556</v>
      </c>
      <c r="V235" s="40">
        <f>SUMIFS(Income_Tracker_Table[Amount Earned],Income_Tracker_Table[Date Received],"&gt;="&amp;T235,Income_Tracker_Table[Date Received],"&lt;="&amp;U235)</f>
        <v>0</v>
      </c>
    </row>
    <row r="236" spans="20:22" x14ac:dyDescent="0.3">
      <c r="T236" s="39">
        <v>50557</v>
      </c>
      <c r="U236" s="39">
        <f t="shared" si="4"/>
        <v>50586</v>
      </c>
      <c r="V236" s="40">
        <f>SUMIFS(Income_Tracker_Table[Amount Earned],Income_Tracker_Table[Date Received],"&gt;="&amp;T236,Income_Tracker_Table[Date Received],"&lt;="&amp;U236)</f>
        <v>0</v>
      </c>
    </row>
    <row r="237" spans="20:22" x14ac:dyDescent="0.3">
      <c r="T237" s="39">
        <v>50587</v>
      </c>
      <c r="U237" s="39">
        <f t="shared" si="4"/>
        <v>50617</v>
      </c>
      <c r="V237" s="40">
        <f>SUMIFS(Income_Tracker_Table[Amount Earned],Income_Tracker_Table[Date Received],"&gt;="&amp;T237,Income_Tracker_Table[Date Received],"&lt;="&amp;U237)</f>
        <v>0</v>
      </c>
    </row>
    <row r="238" spans="20:22" x14ac:dyDescent="0.3">
      <c r="T238" s="39">
        <v>50618</v>
      </c>
      <c r="U238" s="39">
        <f t="shared" si="4"/>
        <v>50648</v>
      </c>
      <c r="V238" s="40">
        <f>SUMIFS(Income_Tracker_Table[Amount Earned],Income_Tracker_Table[Date Received],"&gt;="&amp;T238,Income_Tracker_Table[Date Received],"&lt;="&amp;U238)</f>
        <v>0</v>
      </c>
    </row>
    <row r="239" spans="20:22" x14ac:dyDescent="0.3">
      <c r="T239" s="39">
        <v>50649</v>
      </c>
      <c r="U239" s="39">
        <f t="shared" si="4"/>
        <v>50678</v>
      </c>
      <c r="V239" s="40">
        <f>SUMIFS(Income_Tracker_Table[Amount Earned],Income_Tracker_Table[Date Received],"&gt;="&amp;T239,Income_Tracker_Table[Date Received],"&lt;="&amp;U239)</f>
        <v>0</v>
      </c>
    </row>
    <row r="240" spans="20:22" x14ac:dyDescent="0.3">
      <c r="T240" s="39">
        <v>50679</v>
      </c>
      <c r="U240" s="39">
        <f t="shared" si="4"/>
        <v>50709</v>
      </c>
      <c r="V240" s="40">
        <f>SUMIFS(Income_Tracker_Table[Amount Earned],Income_Tracker_Table[Date Received],"&gt;="&amp;T240,Income_Tracker_Table[Date Received],"&lt;="&amp;U240)</f>
        <v>0</v>
      </c>
    </row>
    <row r="241" spans="20:22" x14ac:dyDescent="0.3">
      <c r="T241" s="39">
        <v>50710</v>
      </c>
      <c r="U241" s="39">
        <f t="shared" si="4"/>
        <v>50739</v>
      </c>
      <c r="V241" s="40">
        <f>SUMIFS(Income_Tracker_Table[Amount Earned],Income_Tracker_Table[Date Received],"&gt;="&amp;T241,Income_Tracker_Table[Date Received],"&lt;="&amp;U241)</f>
        <v>0</v>
      </c>
    </row>
    <row r="242" spans="20:22" x14ac:dyDescent="0.3">
      <c r="T242" s="39">
        <v>50740</v>
      </c>
      <c r="U242" s="39">
        <f t="shared" si="4"/>
        <v>50770</v>
      </c>
      <c r="V242" s="40">
        <f>SUMIFS(Income_Tracker_Table[Amount Earned],Income_Tracker_Table[Date Received],"&gt;="&amp;T242,Income_Tracker_Table[Date Received],"&lt;="&amp;U242)</f>
        <v>0</v>
      </c>
    </row>
    <row r="243" spans="20:22" x14ac:dyDescent="0.3">
      <c r="T243" s="39">
        <v>50771</v>
      </c>
      <c r="U243" s="39">
        <f t="shared" si="4"/>
        <v>50801</v>
      </c>
      <c r="V243" s="40">
        <f>SUMIFS(Income_Tracker_Table[Amount Earned],Income_Tracker_Table[Date Received],"&gt;="&amp;T243,Income_Tracker_Table[Date Received],"&lt;="&amp;U243)</f>
        <v>0</v>
      </c>
    </row>
    <row r="244" spans="20:22" x14ac:dyDescent="0.3">
      <c r="T244" s="39">
        <v>50802</v>
      </c>
      <c r="U244" s="39">
        <f t="shared" si="4"/>
        <v>50829</v>
      </c>
      <c r="V244" s="40">
        <f>SUMIFS(Income_Tracker_Table[Amount Earned],Income_Tracker_Table[Date Received],"&gt;="&amp;T244,Income_Tracker_Table[Date Received],"&lt;="&amp;U244)</f>
        <v>0</v>
      </c>
    </row>
    <row r="245" spans="20:22" x14ac:dyDescent="0.3">
      <c r="T245" s="39">
        <v>50830</v>
      </c>
      <c r="U245" s="39">
        <f t="shared" si="4"/>
        <v>50860</v>
      </c>
      <c r="V245" s="40">
        <f>SUMIFS(Income_Tracker_Table[Amount Earned],Income_Tracker_Table[Date Received],"&gt;="&amp;T245,Income_Tracker_Table[Date Received],"&lt;="&amp;U245)</f>
        <v>0</v>
      </c>
    </row>
    <row r="246" spans="20:22" x14ac:dyDescent="0.3">
      <c r="T246" s="39">
        <v>50861</v>
      </c>
      <c r="U246" s="39">
        <f t="shared" si="4"/>
        <v>50890</v>
      </c>
      <c r="V246" s="40">
        <f>SUMIFS(Income_Tracker_Table[Amount Earned],Income_Tracker_Table[Date Received],"&gt;="&amp;T246,Income_Tracker_Table[Date Received],"&lt;="&amp;U246)</f>
        <v>0</v>
      </c>
    </row>
    <row r="247" spans="20:22" x14ac:dyDescent="0.3">
      <c r="T247" s="39">
        <v>50891</v>
      </c>
      <c r="U247" s="39">
        <f t="shared" si="4"/>
        <v>50921</v>
      </c>
      <c r="V247" s="40">
        <f>SUMIFS(Income_Tracker_Table[Amount Earned],Income_Tracker_Table[Date Received],"&gt;="&amp;T247,Income_Tracker_Table[Date Received],"&lt;="&amp;U247)</f>
        <v>0</v>
      </c>
    </row>
    <row r="248" spans="20:22" x14ac:dyDescent="0.3">
      <c r="T248" s="39">
        <v>50922</v>
      </c>
      <c r="U248" s="39">
        <f t="shared" si="4"/>
        <v>50951</v>
      </c>
      <c r="V248" s="40">
        <f>SUMIFS(Income_Tracker_Table[Amount Earned],Income_Tracker_Table[Date Received],"&gt;="&amp;T248,Income_Tracker_Table[Date Received],"&lt;="&amp;U248)</f>
        <v>0</v>
      </c>
    </row>
    <row r="249" spans="20:22" x14ac:dyDescent="0.3">
      <c r="T249" s="39">
        <v>50952</v>
      </c>
      <c r="U249" s="39">
        <f t="shared" si="4"/>
        <v>50982</v>
      </c>
      <c r="V249" s="40">
        <f>SUMIFS(Income_Tracker_Table[Amount Earned],Income_Tracker_Table[Date Received],"&gt;="&amp;T249,Income_Tracker_Table[Date Received],"&lt;="&amp;U249)</f>
        <v>0</v>
      </c>
    </row>
    <row r="250" spans="20:22" x14ac:dyDescent="0.3">
      <c r="T250" s="39">
        <v>50983</v>
      </c>
      <c r="U250" s="39">
        <f t="shared" si="4"/>
        <v>51013</v>
      </c>
      <c r="V250" s="40">
        <f>SUMIFS(Income_Tracker_Table[Amount Earned],Income_Tracker_Table[Date Received],"&gt;="&amp;T250,Income_Tracker_Table[Date Received],"&lt;="&amp;U250)</f>
        <v>0</v>
      </c>
    </row>
    <row r="251" spans="20:22" x14ac:dyDescent="0.3">
      <c r="T251" s="39">
        <v>51014</v>
      </c>
      <c r="U251" s="39">
        <f t="shared" si="4"/>
        <v>51043</v>
      </c>
      <c r="V251" s="40">
        <f>SUMIFS(Income_Tracker_Table[Amount Earned],Income_Tracker_Table[Date Received],"&gt;="&amp;T251,Income_Tracker_Table[Date Received],"&lt;="&amp;U251)</f>
        <v>0</v>
      </c>
    </row>
    <row r="252" spans="20:22" x14ac:dyDescent="0.3">
      <c r="T252" s="39">
        <v>51044</v>
      </c>
      <c r="U252" s="39">
        <f t="shared" si="4"/>
        <v>51074</v>
      </c>
      <c r="V252" s="40">
        <f>SUMIFS(Income_Tracker_Table[Amount Earned],Income_Tracker_Table[Date Received],"&gt;="&amp;T252,Income_Tracker_Table[Date Received],"&lt;="&amp;U252)</f>
        <v>0</v>
      </c>
    </row>
    <row r="253" spans="20:22" x14ac:dyDescent="0.3">
      <c r="T253" s="39">
        <v>51075</v>
      </c>
      <c r="U253" s="39">
        <f t="shared" si="4"/>
        <v>51104</v>
      </c>
      <c r="V253" s="40">
        <f>SUMIFS(Income_Tracker_Table[Amount Earned],Income_Tracker_Table[Date Received],"&gt;="&amp;T253,Income_Tracker_Table[Date Received],"&lt;="&amp;U253)</f>
        <v>0</v>
      </c>
    </row>
    <row r="254" spans="20:22" x14ac:dyDescent="0.3">
      <c r="T254" s="39">
        <v>51105</v>
      </c>
      <c r="U254" s="39">
        <f t="shared" si="4"/>
        <v>51135</v>
      </c>
      <c r="V254" s="40">
        <f>SUMIFS(Income_Tracker_Table[Amount Earned],Income_Tracker_Table[Date Received],"&gt;="&amp;T254,Income_Tracker_Table[Date Received],"&lt;="&amp;U254)</f>
        <v>0</v>
      </c>
    </row>
    <row r="255" spans="20:22" x14ac:dyDescent="0.3">
      <c r="T255" s="39">
        <v>51136</v>
      </c>
      <c r="U255" s="39">
        <f t="shared" si="4"/>
        <v>51166</v>
      </c>
      <c r="V255" s="40">
        <f>SUMIFS(Income_Tracker_Table[Amount Earned],Income_Tracker_Table[Date Received],"&gt;="&amp;T255,Income_Tracker_Table[Date Received],"&lt;="&amp;U255)</f>
        <v>0</v>
      </c>
    </row>
    <row r="256" spans="20:22" x14ac:dyDescent="0.3">
      <c r="T256" s="39">
        <v>51167</v>
      </c>
      <c r="U256" s="39">
        <f t="shared" si="4"/>
        <v>51195</v>
      </c>
      <c r="V256" s="40">
        <f>SUMIFS(Income_Tracker_Table[Amount Earned],Income_Tracker_Table[Date Received],"&gt;="&amp;T256,Income_Tracker_Table[Date Received],"&lt;="&amp;U256)</f>
        <v>0</v>
      </c>
    </row>
    <row r="257" spans="20:22" x14ac:dyDescent="0.3">
      <c r="T257" s="39">
        <v>51196</v>
      </c>
      <c r="U257" s="39">
        <f t="shared" si="4"/>
        <v>51226</v>
      </c>
      <c r="V257" s="40">
        <f>SUMIFS(Income_Tracker_Table[Amount Earned],Income_Tracker_Table[Date Received],"&gt;="&amp;T257,Income_Tracker_Table[Date Received],"&lt;="&amp;U257)</f>
        <v>0</v>
      </c>
    </row>
    <row r="258" spans="20:22" x14ac:dyDescent="0.3">
      <c r="T258" s="39">
        <v>51227</v>
      </c>
      <c r="U258" s="39">
        <f t="shared" si="4"/>
        <v>51256</v>
      </c>
      <c r="V258" s="40">
        <f>SUMIFS(Income_Tracker_Table[Amount Earned],Income_Tracker_Table[Date Received],"&gt;="&amp;T258,Income_Tracker_Table[Date Received],"&lt;="&amp;U258)</f>
        <v>0</v>
      </c>
    </row>
    <row r="259" spans="20:22" x14ac:dyDescent="0.3">
      <c r="T259" s="39">
        <v>51257</v>
      </c>
      <c r="U259" s="39">
        <f t="shared" si="4"/>
        <v>51287</v>
      </c>
      <c r="V259" s="40">
        <f>SUMIFS(Income_Tracker_Table[Amount Earned],Income_Tracker_Table[Date Received],"&gt;="&amp;T259,Income_Tracker_Table[Date Received],"&lt;="&amp;U259)</f>
        <v>0</v>
      </c>
    </row>
    <row r="260" spans="20:22" x14ac:dyDescent="0.3">
      <c r="T260" s="39">
        <v>51288</v>
      </c>
      <c r="U260" s="39">
        <f t="shared" si="4"/>
        <v>51317</v>
      </c>
      <c r="V260" s="40">
        <f>SUMIFS(Income_Tracker_Table[Amount Earned],Income_Tracker_Table[Date Received],"&gt;="&amp;T260,Income_Tracker_Table[Date Received],"&lt;="&amp;U260)</f>
        <v>0</v>
      </c>
    </row>
    <row r="261" spans="20:22" x14ac:dyDescent="0.3">
      <c r="T261" s="39">
        <v>51318</v>
      </c>
      <c r="U261" s="39">
        <f t="shared" si="4"/>
        <v>51348</v>
      </c>
      <c r="V261" s="40">
        <f>SUMIFS(Income_Tracker_Table[Amount Earned],Income_Tracker_Table[Date Received],"&gt;="&amp;T261,Income_Tracker_Table[Date Received],"&lt;="&amp;U261)</f>
        <v>0</v>
      </c>
    </row>
    <row r="262" spans="20:22" x14ac:dyDescent="0.3">
      <c r="T262" s="39">
        <v>51349</v>
      </c>
      <c r="U262" s="39">
        <f t="shared" si="4"/>
        <v>51379</v>
      </c>
      <c r="V262" s="40">
        <f>SUMIFS(Income_Tracker_Table[Amount Earned],Income_Tracker_Table[Date Received],"&gt;="&amp;T262,Income_Tracker_Table[Date Received],"&lt;="&amp;U262)</f>
        <v>0</v>
      </c>
    </row>
    <row r="263" spans="20:22" x14ac:dyDescent="0.3">
      <c r="T263" s="39">
        <v>51380</v>
      </c>
      <c r="U263" s="39">
        <f t="shared" si="4"/>
        <v>51409</v>
      </c>
      <c r="V263" s="40">
        <f>SUMIFS(Income_Tracker_Table[Amount Earned],Income_Tracker_Table[Date Received],"&gt;="&amp;T263,Income_Tracker_Table[Date Received],"&lt;="&amp;U263)</f>
        <v>0</v>
      </c>
    </row>
    <row r="264" spans="20:22" x14ac:dyDescent="0.3">
      <c r="T264" s="39">
        <v>51410</v>
      </c>
      <c r="U264" s="39">
        <f t="shared" si="4"/>
        <v>51440</v>
      </c>
      <c r="V264" s="40">
        <f>SUMIFS(Income_Tracker_Table[Amount Earned],Income_Tracker_Table[Date Received],"&gt;="&amp;T264,Income_Tracker_Table[Date Received],"&lt;="&amp;U264)</f>
        <v>0</v>
      </c>
    </row>
    <row r="265" spans="20:22" x14ac:dyDescent="0.3">
      <c r="T265" s="39">
        <v>51441</v>
      </c>
      <c r="U265" s="39">
        <f t="shared" ref="U265:U328" si="5">EOMONTH(T265,0)</f>
        <v>51470</v>
      </c>
      <c r="V265" s="40">
        <f>SUMIFS(Income_Tracker_Table[Amount Earned],Income_Tracker_Table[Date Received],"&gt;="&amp;T265,Income_Tracker_Table[Date Received],"&lt;="&amp;U265)</f>
        <v>0</v>
      </c>
    </row>
    <row r="266" spans="20:22" x14ac:dyDescent="0.3">
      <c r="T266" s="39">
        <v>51471</v>
      </c>
      <c r="U266" s="39">
        <f t="shared" si="5"/>
        <v>51501</v>
      </c>
      <c r="V266" s="40">
        <f>SUMIFS(Income_Tracker_Table[Amount Earned],Income_Tracker_Table[Date Received],"&gt;="&amp;T266,Income_Tracker_Table[Date Received],"&lt;="&amp;U266)</f>
        <v>0</v>
      </c>
    </row>
    <row r="267" spans="20:22" x14ac:dyDescent="0.3">
      <c r="T267" s="39">
        <v>51502</v>
      </c>
      <c r="U267" s="39">
        <f t="shared" si="5"/>
        <v>51532</v>
      </c>
      <c r="V267" s="40">
        <f>SUMIFS(Income_Tracker_Table[Amount Earned],Income_Tracker_Table[Date Received],"&gt;="&amp;T267,Income_Tracker_Table[Date Received],"&lt;="&amp;U267)</f>
        <v>0</v>
      </c>
    </row>
    <row r="268" spans="20:22" x14ac:dyDescent="0.3">
      <c r="T268" s="39">
        <v>51533</v>
      </c>
      <c r="U268" s="39">
        <f t="shared" si="5"/>
        <v>51560</v>
      </c>
      <c r="V268" s="40">
        <f>SUMIFS(Income_Tracker_Table[Amount Earned],Income_Tracker_Table[Date Received],"&gt;="&amp;T268,Income_Tracker_Table[Date Received],"&lt;="&amp;U268)</f>
        <v>0</v>
      </c>
    </row>
    <row r="269" spans="20:22" x14ac:dyDescent="0.3">
      <c r="T269" s="39">
        <v>51561</v>
      </c>
      <c r="U269" s="39">
        <f t="shared" si="5"/>
        <v>51591</v>
      </c>
      <c r="V269" s="40">
        <f>SUMIFS(Income_Tracker_Table[Amount Earned],Income_Tracker_Table[Date Received],"&gt;="&amp;T269,Income_Tracker_Table[Date Received],"&lt;="&amp;U269)</f>
        <v>0</v>
      </c>
    </row>
    <row r="270" spans="20:22" x14ac:dyDescent="0.3">
      <c r="T270" s="39">
        <v>51592</v>
      </c>
      <c r="U270" s="39">
        <f t="shared" si="5"/>
        <v>51621</v>
      </c>
      <c r="V270" s="40">
        <f>SUMIFS(Income_Tracker_Table[Amount Earned],Income_Tracker_Table[Date Received],"&gt;="&amp;T270,Income_Tracker_Table[Date Received],"&lt;="&amp;U270)</f>
        <v>0</v>
      </c>
    </row>
    <row r="271" spans="20:22" x14ac:dyDescent="0.3">
      <c r="T271" s="39">
        <v>51622</v>
      </c>
      <c r="U271" s="39">
        <f t="shared" si="5"/>
        <v>51652</v>
      </c>
      <c r="V271" s="40">
        <f>SUMIFS(Income_Tracker_Table[Amount Earned],Income_Tracker_Table[Date Received],"&gt;="&amp;T271,Income_Tracker_Table[Date Received],"&lt;="&amp;U271)</f>
        <v>0</v>
      </c>
    </row>
    <row r="272" spans="20:22" x14ac:dyDescent="0.3">
      <c r="T272" s="39">
        <v>51653</v>
      </c>
      <c r="U272" s="39">
        <f t="shared" si="5"/>
        <v>51682</v>
      </c>
      <c r="V272" s="40">
        <f>SUMIFS(Income_Tracker_Table[Amount Earned],Income_Tracker_Table[Date Received],"&gt;="&amp;T272,Income_Tracker_Table[Date Received],"&lt;="&amp;U272)</f>
        <v>0</v>
      </c>
    </row>
    <row r="273" spans="20:22" x14ac:dyDescent="0.3">
      <c r="T273" s="39">
        <v>51683</v>
      </c>
      <c r="U273" s="39">
        <f t="shared" si="5"/>
        <v>51713</v>
      </c>
      <c r="V273" s="40">
        <f>SUMIFS(Income_Tracker_Table[Amount Earned],Income_Tracker_Table[Date Received],"&gt;="&amp;T273,Income_Tracker_Table[Date Received],"&lt;="&amp;U273)</f>
        <v>0</v>
      </c>
    </row>
    <row r="274" spans="20:22" x14ac:dyDescent="0.3">
      <c r="T274" s="39">
        <v>51714</v>
      </c>
      <c r="U274" s="39">
        <f t="shared" si="5"/>
        <v>51744</v>
      </c>
      <c r="V274" s="40">
        <f>SUMIFS(Income_Tracker_Table[Amount Earned],Income_Tracker_Table[Date Received],"&gt;="&amp;T274,Income_Tracker_Table[Date Received],"&lt;="&amp;U274)</f>
        <v>0</v>
      </c>
    </row>
    <row r="275" spans="20:22" x14ac:dyDescent="0.3">
      <c r="T275" s="39">
        <v>51745</v>
      </c>
      <c r="U275" s="39">
        <f t="shared" si="5"/>
        <v>51774</v>
      </c>
      <c r="V275" s="40">
        <f>SUMIFS(Income_Tracker_Table[Amount Earned],Income_Tracker_Table[Date Received],"&gt;="&amp;T275,Income_Tracker_Table[Date Received],"&lt;="&amp;U275)</f>
        <v>0</v>
      </c>
    </row>
    <row r="276" spans="20:22" x14ac:dyDescent="0.3">
      <c r="T276" s="39">
        <v>51775</v>
      </c>
      <c r="U276" s="39">
        <f t="shared" si="5"/>
        <v>51805</v>
      </c>
      <c r="V276" s="40">
        <f>SUMIFS(Income_Tracker_Table[Amount Earned],Income_Tracker_Table[Date Received],"&gt;="&amp;T276,Income_Tracker_Table[Date Received],"&lt;="&amp;U276)</f>
        <v>0</v>
      </c>
    </row>
    <row r="277" spans="20:22" x14ac:dyDescent="0.3">
      <c r="T277" s="39">
        <v>51806</v>
      </c>
      <c r="U277" s="39">
        <f t="shared" si="5"/>
        <v>51835</v>
      </c>
      <c r="V277" s="40">
        <f>SUMIFS(Income_Tracker_Table[Amount Earned],Income_Tracker_Table[Date Received],"&gt;="&amp;T277,Income_Tracker_Table[Date Received],"&lt;="&amp;U277)</f>
        <v>0</v>
      </c>
    </row>
    <row r="278" spans="20:22" x14ac:dyDescent="0.3">
      <c r="T278" s="39">
        <v>51836</v>
      </c>
      <c r="U278" s="39">
        <f t="shared" si="5"/>
        <v>51866</v>
      </c>
      <c r="V278" s="40">
        <f>SUMIFS(Income_Tracker_Table[Amount Earned],Income_Tracker_Table[Date Received],"&gt;="&amp;T278,Income_Tracker_Table[Date Received],"&lt;="&amp;U278)</f>
        <v>0</v>
      </c>
    </row>
    <row r="279" spans="20:22" x14ac:dyDescent="0.3">
      <c r="T279" s="39">
        <v>51867</v>
      </c>
      <c r="U279" s="39">
        <f t="shared" si="5"/>
        <v>51897</v>
      </c>
      <c r="V279" s="40">
        <f>SUMIFS(Income_Tracker_Table[Amount Earned],Income_Tracker_Table[Date Received],"&gt;="&amp;T279,Income_Tracker_Table[Date Received],"&lt;="&amp;U279)</f>
        <v>0</v>
      </c>
    </row>
    <row r="280" spans="20:22" x14ac:dyDescent="0.3">
      <c r="T280" s="39">
        <v>51898</v>
      </c>
      <c r="U280" s="39">
        <f t="shared" si="5"/>
        <v>51925</v>
      </c>
      <c r="V280" s="40">
        <f>SUMIFS(Income_Tracker_Table[Amount Earned],Income_Tracker_Table[Date Received],"&gt;="&amp;T280,Income_Tracker_Table[Date Received],"&lt;="&amp;U280)</f>
        <v>0</v>
      </c>
    </row>
    <row r="281" spans="20:22" x14ac:dyDescent="0.3">
      <c r="T281" s="39">
        <v>51926</v>
      </c>
      <c r="U281" s="39">
        <f t="shared" si="5"/>
        <v>51956</v>
      </c>
      <c r="V281" s="40">
        <f>SUMIFS(Income_Tracker_Table[Amount Earned],Income_Tracker_Table[Date Received],"&gt;="&amp;T281,Income_Tracker_Table[Date Received],"&lt;="&amp;U281)</f>
        <v>0</v>
      </c>
    </row>
    <row r="282" spans="20:22" x14ac:dyDescent="0.3">
      <c r="T282" s="39">
        <v>51957</v>
      </c>
      <c r="U282" s="39">
        <f t="shared" si="5"/>
        <v>51986</v>
      </c>
      <c r="V282" s="40">
        <f>SUMIFS(Income_Tracker_Table[Amount Earned],Income_Tracker_Table[Date Received],"&gt;="&amp;T282,Income_Tracker_Table[Date Received],"&lt;="&amp;U282)</f>
        <v>0</v>
      </c>
    </row>
    <row r="283" spans="20:22" x14ac:dyDescent="0.3">
      <c r="T283" s="39">
        <v>51987</v>
      </c>
      <c r="U283" s="39">
        <f t="shared" si="5"/>
        <v>52017</v>
      </c>
      <c r="V283" s="40">
        <f>SUMIFS(Income_Tracker_Table[Amount Earned],Income_Tracker_Table[Date Received],"&gt;="&amp;T283,Income_Tracker_Table[Date Received],"&lt;="&amp;U283)</f>
        <v>0</v>
      </c>
    </row>
    <row r="284" spans="20:22" x14ac:dyDescent="0.3">
      <c r="T284" s="39">
        <v>52018</v>
      </c>
      <c r="U284" s="39">
        <f t="shared" si="5"/>
        <v>52047</v>
      </c>
      <c r="V284" s="40">
        <f>SUMIFS(Income_Tracker_Table[Amount Earned],Income_Tracker_Table[Date Received],"&gt;="&amp;T284,Income_Tracker_Table[Date Received],"&lt;="&amp;U284)</f>
        <v>0</v>
      </c>
    </row>
    <row r="285" spans="20:22" x14ac:dyDescent="0.3">
      <c r="T285" s="39">
        <v>52048</v>
      </c>
      <c r="U285" s="39">
        <f t="shared" si="5"/>
        <v>52078</v>
      </c>
      <c r="V285" s="40">
        <f>SUMIFS(Income_Tracker_Table[Amount Earned],Income_Tracker_Table[Date Received],"&gt;="&amp;T285,Income_Tracker_Table[Date Received],"&lt;="&amp;U285)</f>
        <v>0</v>
      </c>
    </row>
    <row r="286" spans="20:22" x14ac:dyDescent="0.3">
      <c r="T286" s="39">
        <v>52079</v>
      </c>
      <c r="U286" s="39">
        <f t="shared" si="5"/>
        <v>52109</v>
      </c>
      <c r="V286" s="40">
        <f>SUMIFS(Income_Tracker_Table[Amount Earned],Income_Tracker_Table[Date Received],"&gt;="&amp;T286,Income_Tracker_Table[Date Received],"&lt;="&amp;U286)</f>
        <v>0</v>
      </c>
    </row>
    <row r="287" spans="20:22" x14ac:dyDescent="0.3">
      <c r="T287" s="39">
        <v>52110</v>
      </c>
      <c r="U287" s="39">
        <f t="shared" si="5"/>
        <v>52139</v>
      </c>
      <c r="V287" s="40">
        <f>SUMIFS(Income_Tracker_Table[Amount Earned],Income_Tracker_Table[Date Received],"&gt;="&amp;T287,Income_Tracker_Table[Date Received],"&lt;="&amp;U287)</f>
        <v>0</v>
      </c>
    </row>
    <row r="288" spans="20:22" x14ac:dyDescent="0.3">
      <c r="T288" s="39">
        <v>52140</v>
      </c>
      <c r="U288" s="39">
        <f t="shared" si="5"/>
        <v>52170</v>
      </c>
      <c r="V288" s="40">
        <f>SUMIFS(Income_Tracker_Table[Amount Earned],Income_Tracker_Table[Date Received],"&gt;="&amp;T288,Income_Tracker_Table[Date Received],"&lt;="&amp;U288)</f>
        <v>0</v>
      </c>
    </row>
    <row r="289" spans="20:22" x14ac:dyDescent="0.3">
      <c r="T289" s="39">
        <v>52171</v>
      </c>
      <c r="U289" s="39">
        <f t="shared" si="5"/>
        <v>52200</v>
      </c>
      <c r="V289" s="40">
        <f>SUMIFS(Income_Tracker_Table[Amount Earned],Income_Tracker_Table[Date Received],"&gt;="&amp;T289,Income_Tracker_Table[Date Received],"&lt;="&amp;U289)</f>
        <v>0</v>
      </c>
    </row>
    <row r="290" spans="20:22" x14ac:dyDescent="0.3">
      <c r="T290" s="39">
        <v>52201</v>
      </c>
      <c r="U290" s="39">
        <f t="shared" si="5"/>
        <v>52231</v>
      </c>
      <c r="V290" s="40">
        <f>SUMIFS(Income_Tracker_Table[Amount Earned],Income_Tracker_Table[Date Received],"&gt;="&amp;T290,Income_Tracker_Table[Date Received],"&lt;="&amp;U290)</f>
        <v>0</v>
      </c>
    </row>
    <row r="291" spans="20:22" x14ac:dyDescent="0.3">
      <c r="T291" s="39">
        <v>52232</v>
      </c>
      <c r="U291" s="39">
        <f t="shared" si="5"/>
        <v>52262</v>
      </c>
      <c r="V291" s="40">
        <f>SUMIFS(Income_Tracker_Table[Amount Earned],Income_Tracker_Table[Date Received],"&gt;="&amp;T291,Income_Tracker_Table[Date Received],"&lt;="&amp;U291)</f>
        <v>0</v>
      </c>
    </row>
    <row r="292" spans="20:22" x14ac:dyDescent="0.3">
      <c r="T292" s="39">
        <v>52263</v>
      </c>
      <c r="U292" s="39">
        <f t="shared" si="5"/>
        <v>52290</v>
      </c>
      <c r="V292" s="40">
        <f>SUMIFS(Income_Tracker_Table[Amount Earned],Income_Tracker_Table[Date Received],"&gt;="&amp;T292,Income_Tracker_Table[Date Received],"&lt;="&amp;U292)</f>
        <v>0</v>
      </c>
    </row>
    <row r="293" spans="20:22" x14ac:dyDescent="0.3">
      <c r="T293" s="39">
        <v>52291</v>
      </c>
      <c r="U293" s="39">
        <f t="shared" si="5"/>
        <v>52321</v>
      </c>
      <c r="V293" s="40">
        <f>SUMIFS(Income_Tracker_Table[Amount Earned],Income_Tracker_Table[Date Received],"&gt;="&amp;T293,Income_Tracker_Table[Date Received],"&lt;="&amp;U293)</f>
        <v>0</v>
      </c>
    </row>
    <row r="294" spans="20:22" x14ac:dyDescent="0.3">
      <c r="T294" s="39">
        <v>52322</v>
      </c>
      <c r="U294" s="39">
        <f t="shared" si="5"/>
        <v>52351</v>
      </c>
      <c r="V294" s="40">
        <f>SUMIFS(Income_Tracker_Table[Amount Earned],Income_Tracker_Table[Date Received],"&gt;="&amp;T294,Income_Tracker_Table[Date Received],"&lt;="&amp;U294)</f>
        <v>0</v>
      </c>
    </row>
    <row r="295" spans="20:22" x14ac:dyDescent="0.3">
      <c r="T295" s="39">
        <v>52352</v>
      </c>
      <c r="U295" s="39">
        <f t="shared" si="5"/>
        <v>52382</v>
      </c>
      <c r="V295" s="40">
        <f>SUMIFS(Income_Tracker_Table[Amount Earned],Income_Tracker_Table[Date Received],"&gt;="&amp;T295,Income_Tracker_Table[Date Received],"&lt;="&amp;U295)</f>
        <v>0</v>
      </c>
    </row>
    <row r="296" spans="20:22" x14ac:dyDescent="0.3">
      <c r="T296" s="39">
        <v>52383</v>
      </c>
      <c r="U296" s="39">
        <f t="shared" si="5"/>
        <v>52412</v>
      </c>
      <c r="V296" s="40">
        <f>SUMIFS(Income_Tracker_Table[Amount Earned],Income_Tracker_Table[Date Received],"&gt;="&amp;T296,Income_Tracker_Table[Date Received],"&lt;="&amp;U296)</f>
        <v>0</v>
      </c>
    </row>
    <row r="297" spans="20:22" x14ac:dyDescent="0.3">
      <c r="T297" s="39">
        <v>52413</v>
      </c>
      <c r="U297" s="39">
        <f t="shared" si="5"/>
        <v>52443</v>
      </c>
      <c r="V297" s="40">
        <f>SUMIFS(Income_Tracker_Table[Amount Earned],Income_Tracker_Table[Date Received],"&gt;="&amp;T297,Income_Tracker_Table[Date Received],"&lt;="&amp;U297)</f>
        <v>0</v>
      </c>
    </row>
    <row r="298" spans="20:22" x14ac:dyDescent="0.3">
      <c r="T298" s="39">
        <v>52444</v>
      </c>
      <c r="U298" s="39">
        <f t="shared" si="5"/>
        <v>52474</v>
      </c>
      <c r="V298" s="40">
        <f>SUMIFS(Income_Tracker_Table[Amount Earned],Income_Tracker_Table[Date Received],"&gt;="&amp;T298,Income_Tracker_Table[Date Received],"&lt;="&amp;U298)</f>
        <v>0</v>
      </c>
    </row>
    <row r="299" spans="20:22" x14ac:dyDescent="0.3">
      <c r="T299" s="39">
        <v>52475</v>
      </c>
      <c r="U299" s="39">
        <f t="shared" si="5"/>
        <v>52504</v>
      </c>
      <c r="V299" s="40">
        <f>SUMIFS(Income_Tracker_Table[Amount Earned],Income_Tracker_Table[Date Received],"&gt;="&amp;T299,Income_Tracker_Table[Date Received],"&lt;="&amp;U299)</f>
        <v>0</v>
      </c>
    </row>
    <row r="300" spans="20:22" x14ac:dyDescent="0.3">
      <c r="T300" s="39">
        <v>52505</v>
      </c>
      <c r="U300" s="39">
        <f t="shared" si="5"/>
        <v>52535</v>
      </c>
      <c r="V300" s="40">
        <f>SUMIFS(Income_Tracker_Table[Amount Earned],Income_Tracker_Table[Date Received],"&gt;="&amp;T300,Income_Tracker_Table[Date Received],"&lt;="&amp;U300)</f>
        <v>0</v>
      </c>
    </row>
    <row r="301" spans="20:22" x14ac:dyDescent="0.3">
      <c r="T301" s="39">
        <v>52536</v>
      </c>
      <c r="U301" s="39">
        <f t="shared" si="5"/>
        <v>52565</v>
      </c>
      <c r="V301" s="40">
        <f>SUMIFS(Income_Tracker_Table[Amount Earned],Income_Tracker_Table[Date Received],"&gt;="&amp;T301,Income_Tracker_Table[Date Received],"&lt;="&amp;U301)</f>
        <v>0</v>
      </c>
    </row>
    <row r="302" spans="20:22" x14ac:dyDescent="0.3">
      <c r="T302" s="39">
        <v>52566</v>
      </c>
      <c r="U302" s="39">
        <f t="shared" si="5"/>
        <v>52596</v>
      </c>
      <c r="V302" s="40">
        <f>SUMIFS(Income_Tracker_Table[Amount Earned],Income_Tracker_Table[Date Received],"&gt;="&amp;T302,Income_Tracker_Table[Date Received],"&lt;="&amp;U302)</f>
        <v>0</v>
      </c>
    </row>
    <row r="303" spans="20:22" x14ac:dyDescent="0.3">
      <c r="T303" s="39">
        <v>52597</v>
      </c>
      <c r="U303" s="39">
        <f t="shared" si="5"/>
        <v>52627</v>
      </c>
      <c r="V303" s="40">
        <f>SUMIFS(Income_Tracker_Table[Amount Earned],Income_Tracker_Table[Date Received],"&gt;="&amp;T303,Income_Tracker_Table[Date Received],"&lt;="&amp;U303)</f>
        <v>0</v>
      </c>
    </row>
    <row r="304" spans="20:22" x14ac:dyDescent="0.3">
      <c r="T304" s="39">
        <v>52628</v>
      </c>
      <c r="U304" s="39">
        <f t="shared" si="5"/>
        <v>52656</v>
      </c>
      <c r="V304" s="40">
        <f>SUMIFS(Income_Tracker_Table[Amount Earned],Income_Tracker_Table[Date Received],"&gt;="&amp;T304,Income_Tracker_Table[Date Received],"&lt;="&amp;U304)</f>
        <v>0</v>
      </c>
    </row>
    <row r="305" spans="20:22" x14ac:dyDescent="0.3">
      <c r="T305" s="39">
        <v>52657</v>
      </c>
      <c r="U305" s="39">
        <f t="shared" si="5"/>
        <v>52687</v>
      </c>
      <c r="V305" s="40">
        <f>SUMIFS(Income_Tracker_Table[Amount Earned],Income_Tracker_Table[Date Received],"&gt;="&amp;T305,Income_Tracker_Table[Date Received],"&lt;="&amp;U305)</f>
        <v>0</v>
      </c>
    </row>
    <row r="306" spans="20:22" x14ac:dyDescent="0.3">
      <c r="T306" s="39">
        <v>52688</v>
      </c>
      <c r="U306" s="39">
        <f t="shared" si="5"/>
        <v>52717</v>
      </c>
      <c r="V306" s="40">
        <f>SUMIFS(Income_Tracker_Table[Amount Earned],Income_Tracker_Table[Date Received],"&gt;="&amp;T306,Income_Tracker_Table[Date Received],"&lt;="&amp;U306)</f>
        <v>0</v>
      </c>
    </row>
    <row r="307" spans="20:22" x14ac:dyDescent="0.3">
      <c r="T307" s="39">
        <v>52718</v>
      </c>
      <c r="U307" s="39">
        <f t="shared" si="5"/>
        <v>52748</v>
      </c>
      <c r="V307" s="40">
        <f>SUMIFS(Income_Tracker_Table[Amount Earned],Income_Tracker_Table[Date Received],"&gt;="&amp;T307,Income_Tracker_Table[Date Received],"&lt;="&amp;U307)</f>
        <v>0</v>
      </c>
    </row>
    <row r="308" spans="20:22" x14ac:dyDescent="0.3">
      <c r="T308" s="39">
        <v>52749</v>
      </c>
      <c r="U308" s="39">
        <f t="shared" si="5"/>
        <v>52778</v>
      </c>
      <c r="V308" s="40">
        <f>SUMIFS(Income_Tracker_Table[Amount Earned],Income_Tracker_Table[Date Received],"&gt;="&amp;T308,Income_Tracker_Table[Date Received],"&lt;="&amp;U308)</f>
        <v>0</v>
      </c>
    </row>
    <row r="309" spans="20:22" x14ac:dyDescent="0.3">
      <c r="T309" s="39">
        <v>52779</v>
      </c>
      <c r="U309" s="39">
        <f t="shared" si="5"/>
        <v>52809</v>
      </c>
      <c r="V309" s="40">
        <f>SUMIFS(Income_Tracker_Table[Amount Earned],Income_Tracker_Table[Date Received],"&gt;="&amp;T309,Income_Tracker_Table[Date Received],"&lt;="&amp;U309)</f>
        <v>0</v>
      </c>
    </row>
    <row r="310" spans="20:22" x14ac:dyDescent="0.3">
      <c r="T310" s="39">
        <v>52810</v>
      </c>
      <c r="U310" s="39">
        <f t="shared" si="5"/>
        <v>52840</v>
      </c>
      <c r="V310" s="40">
        <f>SUMIFS(Income_Tracker_Table[Amount Earned],Income_Tracker_Table[Date Received],"&gt;="&amp;T310,Income_Tracker_Table[Date Received],"&lt;="&amp;U310)</f>
        <v>0</v>
      </c>
    </row>
    <row r="311" spans="20:22" x14ac:dyDescent="0.3">
      <c r="T311" s="39">
        <v>52841</v>
      </c>
      <c r="U311" s="39">
        <f t="shared" si="5"/>
        <v>52870</v>
      </c>
      <c r="V311" s="40">
        <f>SUMIFS(Income_Tracker_Table[Amount Earned],Income_Tracker_Table[Date Received],"&gt;="&amp;T311,Income_Tracker_Table[Date Received],"&lt;="&amp;U311)</f>
        <v>0</v>
      </c>
    </row>
    <row r="312" spans="20:22" x14ac:dyDescent="0.3">
      <c r="T312" s="39">
        <v>52871</v>
      </c>
      <c r="U312" s="39">
        <f t="shared" si="5"/>
        <v>52901</v>
      </c>
      <c r="V312" s="40">
        <f>SUMIFS(Income_Tracker_Table[Amount Earned],Income_Tracker_Table[Date Received],"&gt;="&amp;T312,Income_Tracker_Table[Date Received],"&lt;="&amp;U312)</f>
        <v>0</v>
      </c>
    </row>
    <row r="313" spans="20:22" x14ac:dyDescent="0.3">
      <c r="T313" s="39">
        <v>52902</v>
      </c>
      <c r="U313" s="39">
        <f t="shared" si="5"/>
        <v>52931</v>
      </c>
      <c r="V313" s="40">
        <f>SUMIFS(Income_Tracker_Table[Amount Earned],Income_Tracker_Table[Date Received],"&gt;="&amp;T313,Income_Tracker_Table[Date Received],"&lt;="&amp;U313)</f>
        <v>0</v>
      </c>
    </row>
    <row r="314" spans="20:22" x14ac:dyDescent="0.3">
      <c r="T314" s="39">
        <v>52932</v>
      </c>
      <c r="U314" s="39">
        <f t="shared" si="5"/>
        <v>52962</v>
      </c>
      <c r="V314" s="40">
        <f>SUMIFS(Income_Tracker_Table[Amount Earned],Income_Tracker_Table[Date Received],"&gt;="&amp;T314,Income_Tracker_Table[Date Received],"&lt;="&amp;U314)</f>
        <v>0</v>
      </c>
    </row>
    <row r="315" spans="20:22" x14ac:dyDescent="0.3">
      <c r="T315" s="39">
        <v>52963</v>
      </c>
      <c r="U315" s="39">
        <f t="shared" si="5"/>
        <v>52993</v>
      </c>
      <c r="V315" s="40">
        <f>SUMIFS(Income_Tracker_Table[Amount Earned],Income_Tracker_Table[Date Received],"&gt;="&amp;T315,Income_Tracker_Table[Date Received],"&lt;="&amp;U315)</f>
        <v>0</v>
      </c>
    </row>
    <row r="316" spans="20:22" x14ac:dyDescent="0.3">
      <c r="T316" s="39">
        <v>52994</v>
      </c>
      <c r="U316" s="39">
        <f t="shared" si="5"/>
        <v>53021</v>
      </c>
      <c r="V316" s="40">
        <f>SUMIFS(Income_Tracker_Table[Amount Earned],Income_Tracker_Table[Date Received],"&gt;="&amp;T316,Income_Tracker_Table[Date Received],"&lt;="&amp;U316)</f>
        <v>0</v>
      </c>
    </row>
    <row r="317" spans="20:22" x14ac:dyDescent="0.3">
      <c r="T317" s="39">
        <v>53022</v>
      </c>
      <c r="U317" s="39">
        <f t="shared" si="5"/>
        <v>53052</v>
      </c>
      <c r="V317" s="40">
        <f>SUMIFS(Income_Tracker_Table[Amount Earned],Income_Tracker_Table[Date Received],"&gt;="&amp;T317,Income_Tracker_Table[Date Received],"&lt;="&amp;U317)</f>
        <v>0</v>
      </c>
    </row>
    <row r="318" spans="20:22" x14ac:dyDescent="0.3">
      <c r="T318" s="39">
        <v>53053</v>
      </c>
      <c r="U318" s="39">
        <f t="shared" si="5"/>
        <v>53082</v>
      </c>
      <c r="V318" s="40">
        <f>SUMIFS(Income_Tracker_Table[Amount Earned],Income_Tracker_Table[Date Received],"&gt;="&amp;T318,Income_Tracker_Table[Date Received],"&lt;="&amp;U318)</f>
        <v>0</v>
      </c>
    </row>
    <row r="319" spans="20:22" x14ac:dyDescent="0.3">
      <c r="T319" s="39">
        <v>53083</v>
      </c>
      <c r="U319" s="39">
        <f t="shared" si="5"/>
        <v>53113</v>
      </c>
      <c r="V319" s="40">
        <f>SUMIFS(Income_Tracker_Table[Amount Earned],Income_Tracker_Table[Date Received],"&gt;="&amp;T319,Income_Tracker_Table[Date Received],"&lt;="&amp;U319)</f>
        <v>0</v>
      </c>
    </row>
    <row r="320" spans="20:22" x14ac:dyDescent="0.3">
      <c r="T320" s="39">
        <v>53114</v>
      </c>
      <c r="U320" s="39">
        <f t="shared" si="5"/>
        <v>53143</v>
      </c>
      <c r="V320" s="40">
        <f>SUMIFS(Income_Tracker_Table[Amount Earned],Income_Tracker_Table[Date Received],"&gt;="&amp;T320,Income_Tracker_Table[Date Received],"&lt;="&amp;U320)</f>
        <v>0</v>
      </c>
    </row>
    <row r="321" spans="20:22" x14ac:dyDescent="0.3">
      <c r="T321" s="39">
        <v>53144</v>
      </c>
      <c r="U321" s="39">
        <f t="shared" si="5"/>
        <v>53174</v>
      </c>
      <c r="V321" s="40">
        <f>SUMIFS(Income_Tracker_Table[Amount Earned],Income_Tracker_Table[Date Received],"&gt;="&amp;T321,Income_Tracker_Table[Date Received],"&lt;="&amp;U321)</f>
        <v>0</v>
      </c>
    </row>
    <row r="322" spans="20:22" x14ac:dyDescent="0.3">
      <c r="T322" s="39">
        <v>53175</v>
      </c>
      <c r="U322" s="39">
        <f t="shared" si="5"/>
        <v>53205</v>
      </c>
      <c r="V322" s="40">
        <f>SUMIFS(Income_Tracker_Table[Amount Earned],Income_Tracker_Table[Date Received],"&gt;="&amp;T322,Income_Tracker_Table[Date Received],"&lt;="&amp;U322)</f>
        <v>0</v>
      </c>
    </row>
    <row r="323" spans="20:22" x14ac:dyDescent="0.3">
      <c r="T323" s="39">
        <v>53206</v>
      </c>
      <c r="U323" s="39">
        <f t="shared" si="5"/>
        <v>53235</v>
      </c>
      <c r="V323" s="40">
        <f>SUMIFS(Income_Tracker_Table[Amount Earned],Income_Tracker_Table[Date Received],"&gt;="&amp;T323,Income_Tracker_Table[Date Received],"&lt;="&amp;U323)</f>
        <v>0</v>
      </c>
    </row>
    <row r="324" spans="20:22" x14ac:dyDescent="0.3">
      <c r="T324" s="39">
        <v>53236</v>
      </c>
      <c r="U324" s="39">
        <f t="shared" si="5"/>
        <v>53266</v>
      </c>
      <c r="V324" s="40">
        <f>SUMIFS(Income_Tracker_Table[Amount Earned],Income_Tracker_Table[Date Received],"&gt;="&amp;T324,Income_Tracker_Table[Date Received],"&lt;="&amp;U324)</f>
        <v>0</v>
      </c>
    </row>
    <row r="325" spans="20:22" x14ac:dyDescent="0.3">
      <c r="T325" s="39">
        <v>53267</v>
      </c>
      <c r="U325" s="39">
        <f t="shared" si="5"/>
        <v>53296</v>
      </c>
      <c r="V325" s="40">
        <f>SUMIFS(Income_Tracker_Table[Amount Earned],Income_Tracker_Table[Date Received],"&gt;="&amp;T325,Income_Tracker_Table[Date Received],"&lt;="&amp;U325)</f>
        <v>0</v>
      </c>
    </row>
    <row r="326" spans="20:22" x14ac:dyDescent="0.3">
      <c r="T326" s="39">
        <v>53297</v>
      </c>
      <c r="U326" s="39">
        <f t="shared" si="5"/>
        <v>53327</v>
      </c>
      <c r="V326" s="40">
        <f>SUMIFS(Income_Tracker_Table[Amount Earned],Income_Tracker_Table[Date Received],"&gt;="&amp;T326,Income_Tracker_Table[Date Received],"&lt;="&amp;U326)</f>
        <v>0</v>
      </c>
    </row>
    <row r="327" spans="20:22" x14ac:dyDescent="0.3">
      <c r="T327" s="39">
        <v>53328</v>
      </c>
      <c r="U327" s="39">
        <f t="shared" si="5"/>
        <v>53358</v>
      </c>
      <c r="V327" s="40">
        <f>SUMIFS(Income_Tracker_Table[Amount Earned],Income_Tracker_Table[Date Received],"&gt;="&amp;T327,Income_Tracker_Table[Date Received],"&lt;="&amp;U327)</f>
        <v>0</v>
      </c>
    </row>
    <row r="328" spans="20:22" x14ac:dyDescent="0.3">
      <c r="T328" s="39">
        <v>53359</v>
      </c>
      <c r="U328" s="39">
        <f t="shared" si="5"/>
        <v>53386</v>
      </c>
      <c r="V328" s="40">
        <f>SUMIFS(Income_Tracker_Table[Amount Earned],Income_Tracker_Table[Date Received],"&gt;="&amp;T328,Income_Tracker_Table[Date Received],"&lt;="&amp;U328)</f>
        <v>0</v>
      </c>
    </row>
    <row r="329" spans="20:22" x14ac:dyDescent="0.3">
      <c r="T329" s="39">
        <v>53387</v>
      </c>
      <c r="U329" s="39">
        <f t="shared" ref="U329:U392" si="6">EOMONTH(T329,0)</f>
        <v>53417</v>
      </c>
      <c r="V329" s="40">
        <f>SUMIFS(Income_Tracker_Table[Amount Earned],Income_Tracker_Table[Date Received],"&gt;="&amp;T329,Income_Tracker_Table[Date Received],"&lt;="&amp;U329)</f>
        <v>0</v>
      </c>
    </row>
    <row r="330" spans="20:22" x14ac:dyDescent="0.3">
      <c r="T330" s="39">
        <v>53418</v>
      </c>
      <c r="U330" s="39">
        <f t="shared" si="6"/>
        <v>53447</v>
      </c>
      <c r="V330" s="40">
        <f>SUMIFS(Income_Tracker_Table[Amount Earned],Income_Tracker_Table[Date Received],"&gt;="&amp;T330,Income_Tracker_Table[Date Received],"&lt;="&amp;U330)</f>
        <v>0</v>
      </c>
    </row>
    <row r="331" spans="20:22" x14ac:dyDescent="0.3">
      <c r="T331" s="39">
        <v>53448</v>
      </c>
      <c r="U331" s="39">
        <f t="shared" si="6"/>
        <v>53478</v>
      </c>
      <c r="V331" s="40">
        <f>SUMIFS(Income_Tracker_Table[Amount Earned],Income_Tracker_Table[Date Received],"&gt;="&amp;T331,Income_Tracker_Table[Date Received],"&lt;="&amp;U331)</f>
        <v>0</v>
      </c>
    </row>
    <row r="332" spans="20:22" x14ac:dyDescent="0.3">
      <c r="T332" s="39">
        <v>53479</v>
      </c>
      <c r="U332" s="39">
        <f t="shared" si="6"/>
        <v>53508</v>
      </c>
      <c r="V332" s="40">
        <f>SUMIFS(Income_Tracker_Table[Amount Earned],Income_Tracker_Table[Date Received],"&gt;="&amp;T332,Income_Tracker_Table[Date Received],"&lt;="&amp;U332)</f>
        <v>0</v>
      </c>
    </row>
    <row r="333" spans="20:22" x14ac:dyDescent="0.3">
      <c r="T333" s="39">
        <v>53509</v>
      </c>
      <c r="U333" s="39">
        <f t="shared" si="6"/>
        <v>53539</v>
      </c>
      <c r="V333" s="40">
        <f>SUMIFS(Income_Tracker_Table[Amount Earned],Income_Tracker_Table[Date Received],"&gt;="&amp;T333,Income_Tracker_Table[Date Received],"&lt;="&amp;U333)</f>
        <v>0</v>
      </c>
    </row>
    <row r="334" spans="20:22" x14ac:dyDescent="0.3">
      <c r="T334" s="39">
        <v>53540</v>
      </c>
      <c r="U334" s="39">
        <f t="shared" si="6"/>
        <v>53570</v>
      </c>
      <c r="V334" s="40">
        <f>SUMIFS(Income_Tracker_Table[Amount Earned],Income_Tracker_Table[Date Received],"&gt;="&amp;T334,Income_Tracker_Table[Date Received],"&lt;="&amp;U334)</f>
        <v>0</v>
      </c>
    </row>
    <row r="335" spans="20:22" x14ac:dyDescent="0.3">
      <c r="T335" s="39">
        <v>53571</v>
      </c>
      <c r="U335" s="39">
        <f t="shared" si="6"/>
        <v>53600</v>
      </c>
      <c r="V335" s="40">
        <f>SUMIFS(Income_Tracker_Table[Amount Earned],Income_Tracker_Table[Date Received],"&gt;="&amp;T335,Income_Tracker_Table[Date Received],"&lt;="&amp;U335)</f>
        <v>0</v>
      </c>
    </row>
    <row r="336" spans="20:22" x14ac:dyDescent="0.3">
      <c r="T336" s="39">
        <v>53601</v>
      </c>
      <c r="U336" s="39">
        <f t="shared" si="6"/>
        <v>53631</v>
      </c>
      <c r="V336" s="40">
        <f>SUMIFS(Income_Tracker_Table[Amount Earned],Income_Tracker_Table[Date Received],"&gt;="&amp;T336,Income_Tracker_Table[Date Received],"&lt;="&amp;U336)</f>
        <v>0</v>
      </c>
    </row>
    <row r="337" spans="20:22" x14ac:dyDescent="0.3">
      <c r="T337" s="39">
        <v>53632</v>
      </c>
      <c r="U337" s="39">
        <f t="shared" si="6"/>
        <v>53661</v>
      </c>
      <c r="V337" s="40">
        <f>SUMIFS(Income_Tracker_Table[Amount Earned],Income_Tracker_Table[Date Received],"&gt;="&amp;T337,Income_Tracker_Table[Date Received],"&lt;="&amp;U337)</f>
        <v>0</v>
      </c>
    </row>
    <row r="338" spans="20:22" x14ac:dyDescent="0.3">
      <c r="T338" s="39">
        <v>53662</v>
      </c>
      <c r="U338" s="39">
        <f t="shared" si="6"/>
        <v>53692</v>
      </c>
      <c r="V338" s="40">
        <f>SUMIFS(Income_Tracker_Table[Amount Earned],Income_Tracker_Table[Date Received],"&gt;="&amp;T338,Income_Tracker_Table[Date Received],"&lt;="&amp;U338)</f>
        <v>0</v>
      </c>
    </row>
    <row r="339" spans="20:22" x14ac:dyDescent="0.3">
      <c r="T339" s="39">
        <v>53693</v>
      </c>
      <c r="U339" s="39">
        <f t="shared" si="6"/>
        <v>53723</v>
      </c>
      <c r="V339" s="40">
        <f>SUMIFS(Income_Tracker_Table[Amount Earned],Income_Tracker_Table[Date Received],"&gt;="&amp;T339,Income_Tracker_Table[Date Received],"&lt;="&amp;U339)</f>
        <v>0</v>
      </c>
    </row>
    <row r="340" spans="20:22" x14ac:dyDescent="0.3">
      <c r="T340" s="39">
        <v>53724</v>
      </c>
      <c r="U340" s="39">
        <f t="shared" si="6"/>
        <v>53751</v>
      </c>
      <c r="V340" s="40">
        <f>SUMIFS(Income_Tracker_Table[Amount Earned],Income_Tracker_Table[Date Received],"&gt;="&amp;T340,Income_Tracker_Table[Date Received],"&lt;="&amp;U340)</f>
        <v>0</v>
      </c>
    </row>
    <row r="341" spans="20:22" x14ac:dyDescent="0.3">
      <c r="T341" s="39">
        <v>53752</v>
      </c>
      <c r="U341" s="39">
        <f t="shared" si="6"/>
        <v>53782</v>
      </c>
      <c r="V341" s="40">
        <f>SUMIFS(Income_Tracker_Table[Amount Earned],Income_Tracker_Table[Date Received],"&gt;="&amp;T341,Income_Tracker_Table[Date Received],"&lt;="&amp;U341)</f>
        <v>0</v>
      </c>
    </row>
    <row r="342" spans="20:22" x14ac:dyDescent="0.3">
      <c r="T342" s="39">
        <v>53783</v>
      </c>
      <c r="U342" s="39">
        <f t="shared" si="6"/>
        <v>53812</v>
      </c>
      <c r="V342" s="40">
        <f>SUMIFS(Income_Tracker_Table[Amount Earned],Income_Tracker_Table[Date Received],"&gt;="&amp;T342,Income_Tracker_Table[Date Received],"&lt;="&amp;U342)</f>
        <v>0</v>
      </c>
    </row>
    <row r="343" spans="20:22" x14ac:dyDescent="0.3">
      <c r="T343" s="39">
        <v>53813</v>
      </c>
      <c r="U343" s="39">
        <f t="shared" si="6"/>
        <v>53843</v>
      </c>
      <c r="V343" s="40">
        <f>SUMIFS(Income_Tracker_Table[Amount Earned],Income_Tracker_Table[Date Received],"&gt;="&amp;T343,Income_Tracker_Table[Date Received],"&lt;="&amp;U343)</f>
        <v>0</v>
      </c>
    </row>
    <row r="344" spans="20:22" x14ac:dyDescent="0.3">
      <c r="T344" s="39">
        <v>53844</v>
      </c>
      <c r="U344" s="39">
        <f t="shared" si="6"/>
        <v>53873</v>
      </c>
      <c r="V344" s="40">
        <f>SUMIFS(Income_Tracker_Table[Amount Earned],Income_Tracker_Table[Date Received],"&gt;="&amp;T344,Income_Tracker_Table[Date Received],"&lt;="&amp;U344)</f>
        <v>0</v>
      </c>
    </row>
    <row r="345" spans="20:22" x14ac:dyDescent="0.3">
      <c r="T345" s="39">
        <v>53874</v>
      </c>
      <c r="U345" s="39">
        <f t="shared" si="6"/>
        <v>53904</v>
      </c>
      <c r="V345" s="40">
        <f>SUMIFS(Income_Tracker_Table[Amount Earned],Income_Tracker_Table[Date Received],"&gt;="&amp;T345,Income_Tracker_Table[Date Received],"&lt;="&amp;U345)</f>
        <v>0</v>
      </c>
    </row>
    <row r="346" spans="20:22" x14ac:dyDescent="0.3">
      <c r="T346" s="39">
        <v>53905</v>
      </c>
      <c r="U346" s="39">
        <f t="shared" si="6"/>
        <v>53935</v>
      </c>
      <c r="V346" s="40">
        <f>SUMIFS(Income_Tracker_Table[Amount Earned],Income_Tracker_Table[Date Received],"&gt;="&amp;T346,Income_Tracker_Table[Date Received],"&lt;="&amp;U346)</f>
        <v>0</v>
      </c>
    </row>
    <row r="347" spans="20:22" x14ac:dyDescent="0.3">
      <c r="T347" s="39">
        <v>53936</v>
      </c>
      <c r="U347" s="39">
        <f t="shared" si="6"/>
        <v>53965</v>
      </c>
      <c r="V347" s="40">
        <f>SUMIFS(Income_Tracker_Table[Amount Earned],Income_Tracker_Table[Date Received],"&gt;="&amp;T347,Income_Tracker_Table[Date Received],"&lt;="&amp;U347)</f>
        <v>0</v>
      </c>
    </row>
    <row r="348" spans="20:22" x14ac:dyDescent="0.3">
      <c r="T348" s="39">
        <v>53966</v>
      </c>
      <c r="U348" s="39">
        <f t="shared" si="6"/>
        <v>53996</v>
      </c>
      <c r="V348" s="40">
        <f>SUMIFS(Income_Tracker_Table[Amount Earned],Income_Tracker_Table[Date Received],"&gt;="&amp;T348,Income_Tracker_Table[Date Received],"&lt;="&amp;U348)</f>
        <v>0</v>
      </c>
    </row>
    <row r="349" spans="20:22" x14ac:dyDescent="0.3">
      <c r="T349" s="39">
        <v>53997</v>
      </c>
      <c r="U349" s="39">
        <f t="shared" si="6"/>
        <v>54026</v>
      </c>
      <c r="V349" s="40">
        <f>SUMIFS(Income_Tracker_Table[Amount Earned],Income_Tracker_Table[Date Received],"&gt;="&amp;T349,Income_Tracker_Table[Date Received],"&lt;="&amp;U349)</f>
        <v>0</v>
      </c>
    </row>
    <row r="350" spans="20:22" x14ac:dyDescent="0.3">
      <c r="T350" s="39">
        <v>54027</v>
      </c>
      <c r="U350" s="39">
        <f t="shared" si="6"/>
        <v>54057</v>
      </c>
      <c r="V350" s="40">
        <f>SUMIFS(Income_Tracker_Table[Amount Earned],Income_Tracker_Table[Date Received],"&gt;="&amp;T350,Income_Tracker_Table[Date Received],"&lt;="&amp;U350)</f>
        <v>0</v>
      </c>
    </row>
    <row r="351" spans="20:22" x14ac:dyDescent="0.3">
      <c r="T351" s="39">
        <v>54058</v>
      </c>
      <c r="U351" s="39">
        <f t="shared" si="6"/>
        <v>54088</v>
      </c>
      <c r="V351" s="40">
        <f>SUMIFS(Income_Tracker_Table[Amount Earned],Income_Tracker_Table[Date Received],"&gt;="&amp;T351,Income_Tracker_Table[Date Received],"&lt;="&amp;U351)</f>
        <v>0</v>
      </c>
    </row>
    <row r="352" spans="20:22" x14ac:dyDescent="0.3">
      <c r="T352" s="39">
        <v>54089</v>
      </c>
      <c r="U352" s="39">
        <f t="shared" si="6"/>
        <v>54117</v>
      </c>
      <c r="V352" s="40">
        <f>SUMIFS(Income_Tracker_Table[Amount Earned],Income_Tracker_Table[Date Received],"&gt;="&amp;T352,Income_Tracker_Table[Date Received],"&lt;="&amp;U352)</f>
        <v>0</v>
      </c>
    </row>
    <row r="353" spans="20:22" x14ac:dyDescent="0.3">
      <c r="T353" s="39">
        <v>54118</v>
      </c>
      <c r="U353" s="39">
        <f t="shared" si="6"/>
        <v>54148</v>
      </c>
      <c r="V353" s="40">
        <f>SUMIFS(Income_Tracker_Table[Amount Earned],Income_Tracker_Table[Date Received],"&gt;="&amp;T353,Income_Tracker_Table[Date Received],"&lt;="&amp;U353)</f>
        <v>0</v>
      </c>
    </row>
    <row r="354" spans="20:22" x14ac:dyDescent="0.3">
      <c r="T354" s="39">
        <v>54149</v>
      </c>
      <c r="U354" s="39">
        <f t="shared" si="6"/>
        <v>54178</v>
      </c>
      <c r="V354" s="40">
        <f>SUMIFS(Income_Tracker_Table[Amount Earned],Income_Tracker_Table[Date Received],"&gt;="&amp;T354,Income_Tracker_Table[Date Received],"&lt;="&amp;U354)</f>
        <v>0</v>
      </c>
    </row>
    <row r="355" spans="20:22" x14ac:dyDescent="0.3">
      <c r="T355" s="39">
        <v>54179</v>
      </c>
      <c r="U355" s="39">
        <f t="shared" si="6"/>
        <v>54209</v>
      </c>
      <c r="V355" s="40">
        <f>SUMIFS(Income_Tracker_Table[Amount Earned],Income_Tracker_Table[Date Received],"&gt;="&amp;T355,Income_Tracker_Table[Date Received],"&lt;="&amp;U355)</f>
        <v>0</v>
      </c>
    </row>
    <row r="356" spans="20:22" x14ac:dyDescent="0.3">
      <c r="T356" s="39">
        <v>54210</v>
      </c>
      <c r="U356" s="39">
        <f t="shared" si="6"/>
        <v>54239</v>
      </c>
      <c r="V356" s="40">
        <f>SUMIFS(Income_Tracker_Table[Amount Earned],Income_Tracker_Table[Date Received],"&gt;="&amp;T356,Income_Tracker_Table[Date Received],"&lt;="&amp;U356)</f>
        <v>0</v>
      </c>
    </row>
    <row r="357" spans="20:22" x14ac:dyDescent="0.3">
      <c r="T357" s="39">
        <v>54240</v>
      </c>
      <c r="U357" s="39">
        <f t="shared" si="6"/>
        <v>54270</v>
      </c>
      <c r="V357" s="40">
        <f>SUMIFS(Income_Tracker_Table[Amount Earned],Income_Tracker_Table[Date Received],"&gt;="&amp;T357,Income_Tracker_Table[Date Received],"&lt;="&amp;U357)</f>
        <v>0</v>
      </c>
    </row>
    <row r="358" spans="20:22" x14ac:dyDescent="0.3">
      <c r="T358" s="39">
        <v>54271</v>
      </c>
      <c r="U358" s="39">
        <f t="shared" si="6"/>
        <v>54301</v>
      </c>
      <c r="V358" s="40">
        <f>SUMIFS(Income_Tracker_Table[Amount Earned],Income_Tracker_Table[Date Received],"&gt;="&amp;T358,Income_Tracker_Table[Date Received],"&lt;="&amp;U358)</f>
        <v>0</v>
      </c>
    </row>
    <row r="359" spans="20:22" x14ac:dyDescent="0.3">
      <c r="T359" s="39">
        <v>54302</v>
      </c>
      <c r="U359" s="39">
        <f t="shared" si="6"/>
        <v>54331</v>
      </c>
      <c r="V359" s="40">
        <f>SUMIFS(Income_Tracker_Table[Amount Earned],Income_Tracker_Table[Date Received],"&gt;="&amp;T359,Income_Tracker_Table[Date Received],"&lt;="&amp;U359)</f>
        <v>0</v>
      </c>
    </row>
    <row r="360" spans="20:22" x14ac:dyDescent="0.3">
      <c r="T360" s="39">
        <v>54332</v>
      </c>
      <c r="U360" s="39">
        <f t="shared" si="6"/>
        <v>54362</v>
      </c>
      <c r="V360" s="40">
        <f>SUMIFS(Income_Tracker_Table[Amount Earned],Income_Tracker_Table[Date Received],"&gt;="&amp;T360,Income_Tracker_Table[Date Received],"&lt;="&amp;U360)</f>
        <v>0</v>
      </c>
    </row>
    <row r="361" spans="20:22" x14ac:dyDescent="0.3">
      <c r="T361" s="39">
        <v>54363</v>
      </c>
      <c r="U361" s="39">
        <f t="shared" si="6"/>
        <v>54392</v>
      </c>
      <c r="V361" s="40">
        <f>SUMIFS(Income_Tracker_Table[Amount Earned],Income_Tracker_Table[Date Received],"&gt;="&amp;T361,Income_Tracker_Table[Date Received],"&lt;="&amp;U361)</f>
        <v>0</v>
      </c>
    </row>
    <row r="362" spans="20:22" x14ac:dyDescent="0.3">
      <c r="T362" s="39">
        <v>54393</v>
      </c>
      <c r="U362" s="39">
        <f t="shared" si="6"/>
        <v>54423</v>
      </c>
      <c r="V362" s="40">
        <f>SUMIFS(Income_Tracker_Table[Amount Earned],Income_Tracker_Table[Date Received],"&gt;="&amp;T362,Income_Tracker_Table[Date Received],"&lt;="&amp;U362)</f>
        <v>0</v>
      </c>
    </row>
    <row r="363" spans="20:22" x14ac:dyDescent="0.3">
      <c r="T363" s="39">
        <v>54424</v>
      </c>
      <c r="U363" s="39">
        <f t="shared" si="6"/>
        <v>54454</v>
      </c>
      <c r="V363" s="40">
        <f>SUMIFS(Income_Tracker_Table[Amount Earned],Income_Tracker_Table[Date Received],"&gt;="&amp;T363,Income_Tracker_Table[Date Received],"&lt;="&amp;U363)</f>
        <v>0</v>
      </c>
    </row>
    <row r="364" spans="20:22" x14ac:dyDescent="0.3">
      <c r="T364" s="39">
        <v>54455</v>
      </c>
      <c r="U364" s="39">
        <f t="shared" si="6"/>
        <v>54482</v>
      </c>
      <c r="V364" s="40">
        <f>SUMIFS(Income_Tracker_Table[Amount Earned],Income_Tracker_Table[Date Received],"&gt;="&amp;T364,Income_Tracker_Table[Date Received],"&lt;="&amp;U364)</f>
        <v>0</v>
      </c>
    </row>
    <row r="365" spans="20:22" x14ac:dyDescent="0.3">
      <c r="T365" s="39">
        <v>54483</v>
      </c>
      <c r="U365" s="39">
        <f t="shared" si="6"/>
        <v>54513</v>
      </c>
      <c r="V365" s="40">
        <f>SUMIFS(Income_Tracker_Table[Amount Earned],Income_Tracker_Table[Date Received],"&gt;="&amp;T365,Income_Tracker_Table[Date Received],"&lt;="&amp;U365)</f>
        <v>0</v>
      </c>
    </row>
    <row r="366" spans="20:22" x14ac:dyDescent="0.3">
      <c r="T366" s="39">
        <v>54514</v>
      </c>
      <c r="U366" s="39">
        <f t="shared" si="6"/>
        <v>54543</v>
      </c>
      <c r="V366" s="40">
        <f>SUMIFS(Income_Tracker_Table[Amount Earned],Income_Tracker_Table[Date Received],"&gt;="&amp;T366,Income_Tracker_Table[Date Received],"&lt;="&amp;U366)</f>
        <v>0</v>
      </c>
    </row>
    <row r="367" spans="20:22" x14ac:dyDescent="0.3">
      <c r="T367" s="39">
        <v>54544</v>
      </c>
      <c r="U367" s="39">
        <f t="shared" si="6"/>
        <v>54574</v>
      </c>
      <c r="V367" s="40">
        <f>SUMIFS(Income_Tracker_Table[Amount Earned],Income_Tracker_Table[Date Received],"&gt;="&amp;T367,Income_Tracker_Table[Date Received],"&lt;="&amp;U367)</f>
        <v>0</v>
      </c>
    </row>
    <row r="368" spans="20:22" x14ac:dyDescent="0.3">
      <c r="T368" s="39">
        <v>54575</v>
      </c>
      <c r="U368" s="39">
        <f t="shared" si="6"/>
        <v>54604</v>
      </c>
      <c r="V368" s="40">
        <f>SUMIFS(Income_Tracker_Table[Amount Earned],Income_Tracker_Table[Date Received],"&gt;="&amp;T368,Income_Tracker_Table[Date Received],"&lt;="&amp;U368)</f>
        <v>0</v>
      </c>
    </row>
    <row r="369" spans="20:22" x14ac:dyDescent="0.3">
      <c r="T369" s="39">
        <v>54605</v>
      </c>
      <c r="U369" s="39">
        <f t="shared" si="6"/>
        <v>54635</v>
      </c>
      <c r="V369" s="40">
        <f>SUMIFS(Income_Tracker_Table[Amount Earned],Income_Tracker_Table[Date Received],"&gt;="&amp;T369,Income_Tracker_Table[Date Received],"&lt;="&amp;U369)</f>
        <v>0</v>
      </c>
    </row>
    <row r="370" spans="20:22" x14ac:dyDescent="0.3">
      <c r="T370" s="39">
        <v>54636</v>
      </c>
      <c r="U370" s="39">
        <f t="shared" si="6"/>
        <v>54666</v>
      </c>
      <c r="V370" s="40">
        <f>SUMIFS(Income_Tracker_Table[Amount Earned],Income_Tracker_Table[Date Received],"&gt;="&amp;T370,Income_Tracker_Table[Date Received],"&lt;="&amp;U370)</f>
        <v>0</v>
      </c>
    </row>
    <row r="371" spans="20:22" x14ac:dyDescent="0.3">
      <c r="T371" s="39">
        <v>54667</v>
      </c>
      <c r="U371" s="39">
        <f t="shared" si="6"/>
        <v>54696</v>
      </c>
      <c r="V371" s="40">
        <f>SUMIFS(Income_Tracker_Table[Amount Earned],Income_Tracker_Table[Date Received],"&gt;="&amp;T371,Income_Tracker_Table[Date Received],"&lt;="&amp;U371)</f>
        <v>0</v>
      </c>
    </row>
    <row r="372" spans="20:22" x14ac:dyDescent="0.3">
      <c r="T372" s="39">
        <v>54697</v>
      </c>
      <c r="U372" s="39">
        <f t="shared" si="6"/>
        <v>54727</v>
      </c>
      <c r="V372" s="40">
        <f>SUMIFS(Income_Tracker_Table[Amount Earned],Income_Tracker_Table[Date Received],"&gt;="&amp;T372,Income_Tracker_Table[Date Received],"&lt;="&amp;U372)</f>
        <v>0</v>
      </c>
    </row>
    <row r="373" spans="20:22" x14ac:dyDescent="0.3">
      <c r="T373" s="39">
        <v>54728</v>
      </c>
      <c r="U373" s="39">
        <f t="shared" si="6"/>
        <v>54757</v>
      </c>
      <c r="V373" s="40">
        <f>SUMIFS(Income_Tracker_Table[Amount Earned],Income_Tracker_Table[Date Received],"&gt;="&amp;T373,Income_Tracker_Table[Date Received],"&lt;="&amp;U373)</f>
        <v>0</v>
      </c>
    </row>
    <row r="374" spans="20:22" x14ac:dyDescent="0.3">
      <c r="T374" s="39">
        <v>54758</v>
      </c>
      <c r="U374" s="39">
        <f t="shared" si="6"/>
        <v>54788</v>
      </c>
      <c r="V374" s="40">
        <f>SUMIFS(Income_Tracker_Table[Amount Earned],Income_Tracker_Table[Date Received],"&gt;="&amp;T374,Income_Tracker_Table[Date Received],"&lt;="&amp;U374)</f>
        <v>0</v>
      </c>
    </row>
    <row r="375" spans="20:22" x14ac:dyDescent="0.3">
      <c r="T375" s="39">
        <v>54789</v>
      </c>
      <c r="U375" s="39">
        <f t="shared" si="6"/>
        <v>54819</v>
      </c>
      <c r="V375" s="40">
        <f>SUMIFS(Income_Tracker_Table[Amount Earned],Income_Tracker_Table[Date Received],"&gt;="&amp;T375,Income_Tracker_Table[Date Received],"&lt;="&amp;U375)</f>
        <v>0</v>
      </c>
    </row>
    <row r="376" spans="20:22" x14ac:dyDescent="0.3">
      <c r="T376" s="39">
        <v>54820</v>
      </c>
      <c r="U376" s="39">
        <f t="shared" si="6"/>
        <v>54847</v>
      </c>
      <c r="V376" s="40">
        <f>SUMIFS(Income_Tracker_Table[Amount Earned],Income_Tracker_Table[Date Received],"&gt;="&amp;T376,Income_Tracker_Table[Date Received],"&lt;="&amp;U376)</f>
        <v>0</v>
      </c>
    </row>
    <row r="377" spans="20:22" x14ac:dyDescent="0.3">
      <c r="T377" s="39">
        <v>54848</v>
      </c>
      <c r="U377" s="39">
        <f t="shared" si="6"/>
        <v>54878</v>
      </c>
      <c r="V377" s="40">
        <f>SUMIFS(Income_Tracker_Table[Amount Earned],Income_Tracker_Table[Date Received],"&gt;="&amp;T377,Income_Tracker_Table[Date Received],"&lt;="&amp;U377)</f>
        <v>0</v>
      </c>
    </row>
    <row r="378" spans="20:22" x14ac:dyDescent="0.3">
      <c r="T378" s="39">
        <v>54879</v>
      </c>
      <c r="U378" s="39">
        <f t="shared" si="6"/>
        <v>54908</v>
      </c>
      <c r="V378" s="40">
        <f>SUMIFS(Income_Tracker_Table[Amount Earned],Income_Tracker_Table[Date Received],"&gt;="&amp;T378,Income_Tracker_Table[Date Received],"&lt;="&amp;U378)</f>
        <v>0</v>
      </c>
    </row>
    <row r="379" spans="20:22" x14ac:dyDescent="0.3">
      <c r="T379" s="39">
        <v>54909</v>
      </c>
      <c r="U379" s="39">
        <f t="shared" si="6"/>
        <v>54939</v>
      </c>
      <c r="V379" s="40">
        <f>SUMIFS(Income_Tracker_Table[Amount Earned],Income_Tracker_Table[Date Received],"&gt;="&amp;T379,Income_Tracker_Table[Date Received],"&lt;="&amp;U379)</f>
        <v>0</v>
      </c>
    </row>
    <row r="380" spans="20:22" x14ac:dyDescent="0.3">
      <c r="T380" s="39">
        <v>54940</v>
      </c>
      <c r="U380" s="39">
        <f t="shared" si="6"/>
        <v>54969</v>
      </c>
      <c r="V380" s="40">
        <f>SUMIFS(Income_Tracker_Table[Amount Earned],Income_Tracker_Table[Date Received],"&gt;="&amp;T380,Income_Tracker_Table[Date Received],"&lt;="&amp;U380)</f>
        <v>0</v>
      </c>
    </row>
    <row r="381" spans="20:22" x14ac:dyDescent="0.3">
      <c r="T381" s="39">
        <v>54970</v>
      </c>
      <c r="U381" s="39">
        <f t="shared" si="6"/>
        <v>55000</v>
      </c>
      <c r="V381" s="40">
        <f>SUMIFS(Income_Tracker_Table[Amount Earned],Income_Tracker_Table[Date Received],"&gt;="&amp;T381,Income_Tracker_Table[Date Received],"&lt;="&amp;U381)</f>
        <v>0</v>
      </c>
    </row>
    <row r="382" spans="20:22" x14ac:dyDescent="0.3">
      <c r="T382" s="39">
        <v>55001</v>
      </c>
      <c r="U382" s="39">
        <f t="shared" si="6"/>
        <v>55031</v>
      </c>
      <c r="V382" s="40">
        <f>SUMIFS(Income_Tracker_Table[Amount Earned],Income_Tracker_Table[Date Received],"&gt;="&amp;T382,Income_Tracker_Table[Date Received],"&lt;="&amp;U382)</f>
        <v>0</v>
      </c>
    </row>
    <row r="383" spans="20:22" x14ac:dyDescent="0.3">
      <c r="T383" s="39">
        <v>55032</v>
      </c>
      <c r="U383" s="39">
        <f t="shared" si="6"/>
        <v>55061</v>
      </c>
      <c r="V383" s="40">
        <f>SUMIFS(Income_Tracker_Table[Amount Earned],Income_Tracker_Table[Date Received],"&gt;="&amp;T383,Income_Tracker_Table[Date Received],"&lt;="&amp;U383)</f>
        <v>0</v>
      </c>
    </row>
    <row r="384" spans="20:22" x14ac:dyDescent="0.3">
      <c r="T384" s="39">
        <v>55062</v>
      </c>
      <c r="U384" s="39">
        <f t="shared" si="6"/>
        <v>55092</v>
      </c>
      <c r="V384" s="40">
        <f>SUMIFS(Income_Tracker_Table[Amount Earned],Income_Tracker_Table[Date Received],"&gt;="&amp;T384,Income_Tracker_Table[Date Received],"&lt;="&amp;U384)</f>
        <v>0</v>
      </c>
    </row>
    <row r="385" spans="20:22" x14ac:dyDescent="0.3">
      <c r="T385" s="39">
        <v>55093</v>
      </c>
      <c r="U385" s="39">
        <f t="shared" si="6"/>
        <v>55122</v>
      </c>
      <c r="V385" s="40">
        <f>SUMIFS(Income_Tracker_Table[Amount Earned],Income_Tracker_Table[Date Received],"&gt;="&amp;T385,Income_Tracker_Table[Date Received],"&lt;="&amp;U385)</f>
        <v>0</v>
      </c>
    </row>
    <row r="386" spans="20:22" x14ac:dyDescent="0.3">
      <c r="T386" s="39">
        <v>55123</v>
      </c>
      <c r="U386" s="39">
        <f t="shared" si="6"/>
        <v>55153</v>
      </c>
      <c r="V386" s="40">
        <f>SUMIFS(Income_Tracker_Table[Amount Earned],Income_Tracker_Table[Date Received],"&gt;="&amp;T386,Income_Tracker_Table[Date Received],"&lt;="&amp;U386)</f>
        <v>0</v>
      </c>
    </row>
    <row r="387" spans="20:22" x14ac:dyDescent="0.3">
      <c r="T387" s="39">
        <v>55154</v>
      </c>
      <c r="U387" s="39">
        <f t="shared" si="6"/>
        <v>55184</v>
      </c>
      <c r="V387" s="40">
        <f>SUMIFS(Income_Tracker_Table[Amount Earned],Income_Tracker_Table[Date Received],"&gt;="&amp;T387,Income_Tracker_Table[Date Received],"&lt;="&amp;U387)</f>
        <v>0</v>
      </c>
    </row>
    <row r="388" spans="20:22" x14ac:dyDescent="0.3">
      <c r="T388" s="39">
        <v>55185</v>
      </c>
      <c r="U388" s="39">
        <f t="shared" si="6"/>
        <v>55212</v>
      </c>
      <c r="V388" s="40">
        <f>SUMIFS(Income_Tracker_Table[Amount Earned],Income_Tracker_Table[Date Received],"&gt;="&amp;T388,Income_Tracker_Table[Date Received],"&lt;="&amp;U388)</f>
        <v>0</v>
      </c>
    </row>
    <row r="389" spans="20:22" x14ac:dyDescent="0.3">
      <c r="T389" s="39">
        <v>55213</v>
      </c>
      <c r="U389" s="39">
        <f t="shared" si="6"/>
        <v>55243</v>
      </c>
      <c r="V389" s="40">
        <f>SUMIFS(Income_Tracker_Table[Amount Earned],Income_Tracker_Table[Date Received],"&gt;="&amp;T389,Income_Tracker_Table[Date Received],"&lt;="&amp;U389)</f>
        <v>0</v>
      </c>
    </row>
    <row r="390" spans="20:22" x14ac:dyDescent="0.3">
      <c r="T390" s="39">
        <v>55244</v>
      </c>
      <c r="U390" s="39">
        <f t="shared" si="6"/>
        <v>55273</v>
      </c>
      <c r="V390" s="40">
        <f>SUMIFS(Income_Tracker_Table[Amount Earned],Income_Tracker_Table[Date Received],"&gt;="&amp;T390,Income_Tracker_Table[Date Received],"&lt;="&amp;U390)</f>
        <v>0</v>
      </c>
    </row>
    <row r="391" spans="20:22" x14ac:dyDescent="0.3">
      <c r="T391" s="39">
        <v>55274</v>
      </c>
      <c r="U391" s="39">
        <f t="shared" si="6"/>
        <v>55304</v>
      </c>
      <c r="V391" s="40">
        <f>SUMIFS(Income_Tracker_Table[Amount Earned],Income_Tracker_Table[Date Received],"&gt;="&amp;T391,Income_Tracker_Table[Date Received],"&lt;="&amp;U391)</f>
        <v>0</v>
      </c>
    </row>
    <row r="392" spans="20:22" x14ac:dyDescent="0.3">
      <c r="T392" s="39">
        <v>55305</v>
      </c>
      <c r="U392" s="39">
        <f t="shared" si="6"/>
        <v>55334</v>
      </c>
      <c r="V392" s="40">
        <f>SUMIFS(Income_Tracker_Table[Amount Earned],Income_Tracker_Table[Date Received],"&gt;="&amp;T392,Income_Tracker_Table[Date Received],"&lt;="&amp;U392)</f>
        <v>0</v>
      </c>
    </row>
    <row r="393" spans="20:22" x14ac:dyDescent="0.3">
      <c r="T393" s="39">
        <v>55335</v>
      </c>
      <c r="U393" s="39">
        <f t="shared" ref="U393:U456" si="7">EOMONTH(T393,0)</f>
        <v>55365</v>
      </c>
      <c r="V393" s="40">
        <f>SUMIFS(Income_Tracker_Table[Amount Earned],Income_Tracker_Table[Date Received],"&gt;="&amp;T393,Income_Tracker_Table[Date Received],"&lt;="&amp;U393)</f>
        <v>0</v>
      </c>
    </row>
    <row r="394" spans="20:22" x14ac:dyDescent="0.3">
      <c r="T394" s="39">
        <v>55366</v>
      </c>
      <c r="U394" s="39">
        <f t="shared" si="7"/>
        <v>55396</v>
      </c>
      <c r="V394" s="40">
        <f>SUMIFS(Income_Tracker_Table[Amount Earned],Income_Tracker_Table[Date Received],"&gt;="&amp;T394,Income_Tracker_Table[Date Received],"&lt;="&amp;U394)</f>
        <v>0</v>
      </c>
    </row>
    <row r="395" spans="20:22" x14ac:dyDescent="0.3">
      <c r="T395" s="39">
        <v>55397</v>
      </c>
      <c r="U395" s="39">
        <f t="shared" si="7"/>
        <v>55426</v>
      </c>
      <c r="V395" s="40">
        <f>SUMIFS(Income_Tracker_Table[Amount Earned],Income_Tracker_Table[Date Received],"&gt;="&amp;T395,Income_Tracker_Table[Date Received],"&lt;="&amp;U395)</f>
        <v>0</v>
      </c>
    </row>
    <row r="396" spans="20:22" x14ac:dyDescent="0.3">
      <c r="T396" s="39">
        <v>55427</v>
      </c>
      <c r="U396" s="39">
        <f t="shared" si="7"/>
        <v>55457</v>
      </c>
      <c r="V396" s="40">
        <f>SUMIFS(Income_Tracker_Table[Amount Earned],Income_Tracker_Table[Date Received],"&gt;="&amp;T396,Income_Tracker_Table[Date Received],"&lt;="&amp;U396)</f>
        <v>0</v>
      </c>
    </row>
    <row r="397" spans="20:22" x14ac:dyDescent="0.3">
      <c r="T397" s="39">
        <v>55458</v>
      </c>
      <c r="U397" s="39">
        <f t="shared" si="7"/>
        <v>55487</v>
      </c>
      <c r="V397" s="40">
        <f>SUMIFS(Income_Tracker_Table[Amount Earned],Income_Tracker_Table[Date Received],"&gt;="&amp;T397,Income_Tracker_Table[Date Received],"&lt;="&amp;U397)</f>
        <v>0</v>
      </c>
    </row>
    <row r="398" spans="20:22" x14ac:dyDescent="0.3">
      <c r="T398" s="39">
        <v>55488</v>
      </c>
      <c r="U398" s="39">
        <f t="shared" si="7"/>
        <v>55518</v>
      </c>
      <c r="V398" s="40">
        <f>SUMIFS(Income_Tracker_Table[Amount Earned],Income_Tracker_Table[Date Received],"&gt;="&amp;T398,Income_Tracker_Table[Date Received],"&lt;="&amp;U398)</f>
        <v>0</v>
      </c>
    </row>
    <row r="399" spans="20:22" x14ac:dyDescent="0.3">
      <c r="T399" s="39">
        <v>55519</v>
      </c>
      <c r="U399" s="39">
        <f t="shared" si="7"/>
        <v>55549</v>
      </c>
      <c r="V399" s="40">
        <f>SUMIFS(Income_Tracker_Table[Amount Earned],Income_Tracker_Table[Date Received],"&gt;="&amp;T399,Income_Tracker_Table[Date Received],"&lt;="&amp;U399)</f>
        <v>0</v>
      </c>
    </row>
    <row r="400" spans="20:22" x14ac:dyDescent="0.3">
      <c r="T400" s="39">
        <v>55550</v>
      </c>
      <c r="U400" s="39">
        <f t="shared" si="7"/>
        <v>55578</v>
      </c>
      <c r="V400" s="40">
        <f>SUMIFS(Income_Tracker_Table[Amount Earned],Income_Tracker_Table[Date Received],"&gt;="&amp;T400,Income_Tracker_Table[Date Received],"&lt;="&amp;U400)</f>
        <v>0</v>
      </c>
    </row>
    <row r="401" spans="20:22" x14ac:dyDescent="0.3">
      <c r="T401" s="39">
        <v>55579</v>
      </c>
      <c r="U401" s="39">
        <f t="shared" si="7"/>
        <v>55609</v>
      </c>
      <c r="V401" s="40">
        <f>SUMIFS(Income_Tracker_Table[Amount Earned],Income_Tracker_Table[Date Received],"&gt;="&amp;T401,Income_Tracker_Table[Date Received],"&lt;="&amp;U401)</f>
        <v>0</v>
      </c>
    </row>
    <row r="402" spans="20:22" x14ac:dyDescent="0.3">
      <c r="T402" s="39">
        <v>55610</v>
      </c>
      <c r="U402" s="39">
        <f t="shared" si="7"/>
        <v>55639</v>
      </c>
      <c r="V402" s="40">
        <f>SUMIFS(Income_Tracker_Table[Amount Earned],Income_Tracker_Table[Date Received],"&gt;="&amp;T402,Income_Tracker_Table[Date Received],"&lt;="&amp;U402)</f>
        <v>0</v>
      </c>
    </row>
    <row r="403" spans="20:22" x14ac:dyDescent="0.3">
      <c r="T403" s="39">
        <v>55640</v>
      </c>
      <c r="U403" s="39">
        <f t="shared" si="7"/>
        <v>55670</v>
      </c>
      <c r="V403" s="40">
        <f>SUMIFS(Income_Tracker_Table[Amount Earned],Income_Tracker_Table[Date Received],"&gt;="&amp;T403,Income_Tracker_Table[Date Received],"&lt;="&amp;U403)</f>
        <v>0</v>
      </c>
    </row>
    <row r="404" spans="20:22" x14ac:dyDescent="0.3">
      <c r="T404" s="39">
        <v>55671</v>
      </c>
      <c r="U404" s="39">
        <f t="shared" si="7"/>
        <v>55700</v>
      </c>
      <c r="V404" s="40">
        <f>SUMIFS(Income_Tracker_Table[Amount Earned],Income_Tracker_Table[Date Received],"&gt;="&amp;T404,Income_Tracker_Table[Date Received],"&lt;="&amp;U404)</f>
        <v>0</v>
      </c>
    </row>
    <row r="405" spans="20:22" x14ac:dyDescent="0.3">
      <c r="T405" s="39">
        <v>55701</v>
      </c>
      <c r="U405" s="39">
        <f t="shared" si="7"/>
        <v>55731</v>
      </c>
      <c r="V405" s="40">
        <f>SUMIFS(Income_Tracker_Table[Amount Earned],Income_Tracker_Table[Date Received],"&gt;="&amp;T405,Income_Tracker_Table[Date Received],"&lt;="&amp;U405)</f>
        <v>0</v>
      </c>
    </row>
    <row r="406" spans="20:22" x14ac:dyDescent="0.3">
      <c r="T406" s="39">
        <v>55732</v>
      </c>
      <c r="U406" s="39">
        <f t="shared" si="7"/>
        <v>55762</v>
      </c>
      <c r="V406" s="40">
        <f>SUMIFS(Income_Tracker_Table[Amount Earned],Income_Tracker_Table[Date Received],"&gt;="&amp;T406,Income_Tracker_Table[Date Received],"&lt;="&amp;U406)</f>
        <v>0</v>
      </c>
    </row>
    <row r="407" spans="20:22" x14ac:dyDescent="0.3">
      <c r="T407" s="39">
        <v>55763</v>
      </c>
      <c r="U407" s="39">
        <f t="shared" si="7"/>
        <v>55792</v>
      </c>
      <c r="V407" s="40">
        <f>SUMIFS(Income_Tracker_Table[Amount Earned],Income_Tracker_Table[Date Received],"&gt;="&amp;T407,Income_Tracker_Table[Date Received],"&lt;="&amp;U407)</f>
        <v>0</v>
      </c>
    </row>
    <row r="408" spans="20:22" x14ac:dyDescent="0.3">
      <c r="T408" s="39">
        <v>55793</v>
      </c>
      <c r="U408" s="39">
        <f t="shared" si="7"/>
        <v>55823</v>
      </c>
      <c r="V408" s="40">
        <f>SUMIFS(Income_Tracker_Table[Amount Earned],Income_Tracker_Table[Date Received],"&gt;="&amp;T408,Income_Tracker_Table[Date Received],"&lt;="&amp;U408)</f>
        <v>0</v>
      </c>
    </row>
    <row r="409" spans="20:22" x14ac:dyDescent="0.3">
      <c r="T409" s="39">
        <v>55824</v>
      </c>
      <c r="U409" s="39">
        <f t="shared" si="7"/>
        <v>55853</v>
      </c>
      <c r="V409" s="40">
        <f>SUMIFS(Income_Tracker_Table[Amount Earned],Income_Tracker_Table[Date Received],"&gt;="&amp;T409,Income_Tracker_Table[Date Received],"&lt;="&amp;U409)</f>
        <v>0</v>
      </c>
    </row>
    <row r="410" spans="20:22" x14ac:dyDescent="0.3">
      <c r="T410" s="39">
        <v>55854</v>
      </c>
      <c r="U410" s="39">
        <f t="shared" si="7"/>
        <v>55884</v>
      </c>
      <c r="V410" s="40">
        <f>SUMIFS(Income_Tracker_Table[Amount Earned],Income_Tracker_Table[Date Received],"&gt;="&amp;T410,Income_Tracker_Table[Date Received],"&lt;="&amp;U410)</f>
        <v>0</v>
      </c>
    </row>
    <row r="411" spans="20:22" x14ac:dyDescent="0.3">
      <c r="T411" s="39">
        <v>55885</v>
      </c>
      <c r="U411" s="39">
        <f t="shared" si="7"/>
        <v>55915</v>
      </c>
      <c r="V411" s="40">
        <f>SUMIFS(Income_Tracker_Table[Amount Earned],Income_Tracker_Table[Date Received],"&gt;="&amp;T411,Income_Tracker_Table[Date Received],"&lt;="&amp;U411)</f>
        <v>0</v>
      </c>
    </row>
    <row r="412" spans="20:22" x14ac:dyDescent="0.3">
      <c r="T412" s="39">
        <v>55916</v>
      </c>
      <c r="U412" s="39">
        <f t="shared" si="7"/>
        <v>55943</v>
      </c>
      <c r="V412" s="40">
        <f>SUMIFS(Income_Tracker_Table[Amount Earned],Income_Tracker_Table[Date Received],"&gt;="&amp;T412,Income_Tracker_Table[Date Received],"&lt;="&amp;U412)</f>
        <v>0</v>
      </c>
    </row>
    <row r="413" spans="20:22" x14ac:dyDescent="0.3">
      <c r="T413" s="39">
        <v>55944</v>
      </c>
      <c r="U413" s="39">
        <f t="shared" si="7"/>
        <v>55974</v>
      </c>
      <c r="V413" s="40">
        <f>SUMIFS(Income_Tracker_Table[Amount Earned],Income_Tracker_Table[Date Received],"&gt;="&amp;T413,Income_Tracker_Table[Date Received],"&lt;="&amp;U413)</f>
        <v>0</v>
      </c>
    </row>
    <row r="414" spans="20:22" x14ac:dyDescent="0.3">
      <c r="T414" s="39">
        <v>55975</v>
      </c>
      <c r="U414" s="39">
        <f t="shared" si="7"/>
        <v>56004</v>
      </c>
      <c r="V414" s="40">
        <f>SUMIFS(Income_Tracker_Table[Amount Earned],Income_Tracker_Table[Date Received],"&gt;="&amp;T414,Income_Tracker_Table[Date Received],"&lt;="&amp;U414)</f>
        <v>0</v>
      </c>
    </row>
    <row r="415" spans="20:22" x14ac:dyDescent="0.3">
      <c r="T415" s="39">
        <v>56005</v>
      </c>
      <c r="U415" s="39">
        <f t="shared" si="7"/>
        <v>56035</v>
      </c>
      <c r="V415" s="40">
        <f>SUMIFS(Income_Tracker_Table[Amount Earned],Income_Tracker_Table[Date Received],"&gt;="&amp;T415,Income_Tracker_Table[Date Received],"&lt;="&amp;U415)</f>
        <v>0</v>
      </c>
    </row>
    <row r="416" spans="20:22" x14ac:dyDescent="0.3">
      <c r="T416" s="39">
        <v>56036</v>
      </c>
      <c r="U416" s="39">
        <f t="shared" si="7"/>
        <v>56065</v>
      </c>
      <c r="V416" s="40">
        <f>SUMIFS(Income_Tracker_Table[Amount Earned],Income_Tracker_Table[Date Received],"&gt;="&amp;T416,Income_Tracker_Table[Date Received],"&lt;="&amp;U416)</f>
        <v>0</v>
      </c>
    </row>
    <row r="417" spans="20:22" x14ac:dyDescent="0.3">
      <c r="T417" s="39">
        <v>56066</v>
      </c>
      <c r="U417" s="39">
        <f t="shared" si="7"/>
        <v>56096</v>
      </c>
      <c r="V417" s="40">
        <f>SUMIFS(Income_Tracker_Table[Amount Earned],Income_Tracker_Table[Date Received],"&gt;="&amp;T417,Income_Tracker_Table[Date Received],"&lt;="&amp;U417)</f>
        <v>0</v>
      </c>
    </row>
    <row r="418" spans="20:22" x14ac:dyDescent="0.3">
      <c r="T418" s="39">
        <v>56097</v>
      </c>
      <c r="U418" s="39">
        <f t="shared" si="7"/>
        <v>56127</v>
      </c>
      <c r="V418" s="40">
        <f>SUMIFS(Income_Tracker_Table[Amount Earned],Income_Tracker_Table[Date Received],"&gt;="&amp;T418,Income_Tracker_Table[Date Received],"&lt;="&amp;U418)</f>
        <v>0</v>
      </c>
    </row>
    <row r="419" spans="20:22" x14ac:dyDescent="0.3">
      <c r="T419" s="39">
        <v>56128</v>
      </c>
      <c r="U419" s="39">
        <f t="shared" si="7"/>
        <v>56157</v>
      </c>
      <c r="V419" s="40">
        <f>SUMIFS(Income_Tracker_Table[Amount Earned],Income_Tracker_Table[Date Received],"&gt;="&amp;T419,Income_Tracker_Table[Date Received],"&lt;="&amp;U419)</f>
        <v>0</v>
      </c>
    </row>
    <row r="420" spans="20:22" x14ac:dyDescent="0.3">
      <c r="T420" s="39">
        <v>56158</v>
      </c>
      <c r="U420" s="39">
        <f t="shared" si="7"/>
        <v>56188</v>
      </c>
      <c r="V420" s="40">
        <f>SUMIFS(Income_Tracker_Table[Amount Earned],Income_Tracker_Table[Date Received],"&gt;="&amp;T420,Income_Tracker_Table[Date Received],"&lt;="&amp;U420)</f>
        <v>0</v>
      </c>
    </row>
    <row r="421" spans="20:22" x14ac:dyDescent="0.3">
      <c r="T421" s="39">
        <v>56189</v>
      </c>
      <c r="U421" s="39">
        <f t="shared" si="7"/>
        <v>56218</v>
      </c>
      <c r="V421" s="40">
        <f>SUMIFS(Income_Tracker_Table[Amount Earned],Income_Tracker_Table[Date Received],"&gt;="&amp;T421,Income_Tracker_Table[Date Received],"&lt;="&amp;U421)</f>
        <v>0</v>
      </c>
    </row>
    <row r="422" spans="20:22" x14ac:dyDescent="0.3">
      <c r="T422" s="39">
        <v>56219</v>
      </c>
      <c r="U422" s="39">
        <f t="shared" si="7"/>
        <v>56249</v>
      </c>
      <c r="V422" s="40">
        <f>SUMIFS(Income_Tracker_Table[Amount Earned],Income_Tracker_Table[Date Received],"&gt;="&amp;T422,Income_Tracker_Table[Date Received],"&lt;="&amp;U422)</f>
        <v>0</v>
      </c>
    </row>
    <row r="423" spans="20:22" x14ac:dyDescent="0.3">
      <c r="T423" s="39">
        <v>56250</v>
      </c>
      <c r="U423" s="39">
        <f t="shared" si="7"/>
        <v>56280</v>
      </c>
      <c r="V423" s="40">
        <f>SUMIFS(Income_Tracker_Table[Amount Earned],Income_Tracker_Table[Date Received],"&gt;="&amp;T423,Income_Tracker_Table[Date Received],"&lt;="&amp;U423)</f>
        <v>0</v>
      </c>
    </row>
    <row r="424" spans="20:22" x14ac:dyDescent="0.3">
      <c r="T424" s="39">
        <v>56281</v>
      </c>
      <c r="U424" s="39">
        <f t="shared" si="7"/>
        <v>56308</v>
      </c>
      <c r="V424" s="40">
        <f>SUMIFS(Income_Tracker_Table[Amount Earned],Income_Tracker_Table[Date Received],"&gt;="&amp;T424,Income_Tracker_Table[Date Received],"&lt;="&amp;U424)</f>
        <v>0</v>
      </c>
    </row>
    <row r="425" spans="20:22" x14ac:dyDescent="0.3">
      <c r="T425" s="39">
        <v>56309</v>
      </c>
      <c r="U425" s="39">
        <f t="shared" si="7"/>
        <v>56339</v>
      </c>
      <c r="V425" s="40">
        <f>SUMIFS(Income_Tracker_Table[Amount Earned],Income_Tracker_Table[Date Received],"&gt;="&amp;T425,Income_Tracker_Table[Date Received],"&lt;="&amp;U425)</f>
        <v>0</v>
      </c>
    </row>
    <row r="426" spans="20:22" x14ac:dyDescent="0.3">
      <c r="T426" s="39">
        <v>56340</v>
      </c>
      <c r="U426" s="39">
        <f t="shared" si="7"/>
        <v>56369</v>
      </c>
      <c r="V426" s="40">
        <f>SUMIFS(Income_Tracker_Table[Amount Earned],Income_Tracker_Table[Date Received],"&gt;="&amp;T426,Income_Tracker_Table[Date Received],"&lt;="&amp;U426)</f>
        <v>0</v>
      </c>
    </row>
    <row r="427" spans="20:22" x14ac:dyDescent="0.3">
      <c r="T427" s="39">
        <v>56370</v>
      </c>
      <c r="U427" s="39">
        <f t="shared" si="7"/>
        <v>56400</v>
      </c>
      <c r="V427" s="40">
        <f>SUMIFS(Income_Tracker_Table[Amount Earned],Income_Tracker_Table[Date Received],"&gt;="&amp;T427,Income_Tracker_Table[Date Received],"&lt;="&amp;U427)</f>
        <v>0</v>
      </c>
    </row>
    <row r="428" spans="20:22" x14ac:dyDescent="0.3">
      <c r="T428" s="39">
        <v>56401</v>
      </c>
      <c r="U428" s="39">
        <f t="shared" si="7"/>
        <v>56430</v>
      </c>
      <c r="V428" s="40">
        <f>SUMIFS(Income_Tracker_Table[Amount Earned],Income_Tracker_Table[Date Received],"&gt;="&amp;T428,Income_Tracker_Table[Date Received],"&lt;="&amp;U428)</f>
        <v>0</v>
      </c>
    </row>
    <row r="429" spans="20:22" x14ac:dyDescent="0.3">
      <c r="T429" s="39">
        <v>56431</v>
      </c>
      <c r="U429" s="39">
        <f t="shared" si="7"/>
        <v>56461</v>
      </c>
      <c r="V429" s="40">
        <f>SUMIFS(Income_Tracker_Table[Amount Earned],Income_Tracker_Table[Date Received],"&gt;="&amp;T429,Income_Tracker_Table[Date Received],"&lt;="&amp;U429)</f>
        <v>0</v>
      </c>
    </row>
    <row r="430" spans="20:22" x14ac:dyDescent="0.3">
      <c r="T430" s="39">
        <v>56462</v>
      </c>
      <c r="U430" s="39">
        <f t="shared" si="7"/>
        <v>56492</v>
      </c>
      <c r="V430" s="40">
        <f>SUMIFS(Income_Tracker_Table[Amount Earned],Income_Tracker_Table[Date Received],"&gt;="&amp;T430,Income_Tracker_Table[Date Received],"&lt;="&amp;U430)</f>
        <v>0</v>
      </c>
    </row>
    <row r="431" spans="20:22" x14ac:dyDescent="0.3">
      <c r="T431" s="39">
        <v>56493</v>
      </c>
      <c r="U431" s="39">
        <f t="shared" si="7"/>
        <v>56522</v>
      </c>
      <c r="V431" s="40">
        <f>SUMIFS(Income_Tracker_Table[Amount Earned],Income_Tracker_Table[Date Received],"&gt;="&amp;T431,Income_Tracker_Table[Date Received],"&lt;="&amp;U431)</f>
        <v>0</v>
      </c>
    </row>
    <row r="432" spans="20:22" x14ac:dyDescent="0.3">
      <c r="T432" s="39">
        <v>56523</v>
      </c>
      <c r="U432" s="39">
        <f t="shared" si="7"/>
        <v>56553</v>
      </c>
      <c r="V432" s="40">
        <f>SUMIFS(Income_Tracker_Table[Amount Earned],Income_Tracker_Table[Date Received],"&gt;="&amp;T432,Income_Tracker_Table[Date Received],"&lt;="&amp;U432)</f>
        <v>0</v>
      </c>
    </row>
    <row r="433" spans="20:22" x14ac:dyDescent="0.3">
      <c r="T433" s="39">
        <v>56554</v>
      </c>
      <c r="U433" s="39">
        <f t="shared" si="7"/>
        <v>56583</v>
      </c>
      <c r="V433" s="40">
        <f>SUMIFS(Income_Tracker_Table[Amount Earned],Income_Tracker_Table[Date Received],"&gt;="&amp;T433,Income_Tracker_Table[Date Received],"&lt;="&amp;U433)</f>
        <v>0</v>
      </c>
    </row>
    <row r="434" spans="20:22" x14ac:dyDescent="0.3">
      <c r="T434" s="39">
        <v>56584</v>
      </c>
      <c r="U434" s="39">
        <f t="shared" si="7"/>
        <v>56614</v>
      </c>
      <c r="V434" s="40">
        <f>SUMIFS(Income_Tracker_Table[Amount Earned],Income_Tracker_Table[Date Received],"&gt;="&amp;T434,Income_Tracker_Table[Date Received],"&lt;="&amp;U434)</f>
        <v>0</v>
      </c>
    </row>
    <row r="435" spans="20:22" x14ac:dyDescent="0.3">
      <c r="T435" s="39">
        <v>56615</v>
      </c>
      <c r="U435" s="39">
        <f t="shared" si="7"/>
        <v>56645</v>
      </c>
      <c r="V435" s="40">
        <f>SUMIFS(Income_Tracker_Table[Amount Earned],Income_Tracker_Table[Date Received],"&gt;="&amp;T435,Income_Tracker_Table[Date Received],"&lt;="&amp;U435)</f>
        <v>0</v>
      </c>
    </row>
    <row r="436" spans="20:22" x14ac:dyDescent="0.3">
      <c r="T436" s="39">
        <v>56646</v>
      </c>
      <c r="U436" s="39">
        <f t="shared" si="7"/>
        <v>56673</v>
      </c>
      <c r="V436" s="40">
        <f>SUMIFS(Income_Tracker_Table[Amount Earned],Income_Tracker_Table[Date Received],"&gt;="&amp;T436,Income_Tracker_Table[Date Received],"&lt;="&amp;U436)</f>
        <v>0</v>
      </c>
    </row>
    <row r="437" spans="20:22" x14ac:dyDescent="0.3">
      <c r="T437" s="39">
        <v>56674</v>
      </c>
      <c r="U437" s="39">
        <f t="shared" si="7"/>
        <v>56704</v>
      </c>
      <c r="V437" s="40">
        <f>SUMIFS(Income_Tracker_Table[Amount Earned],Income_Tracker_Table[Date Received],"&gt;="&amp;T437,Income_Tracker_Table[Date Received],"&lt;="&amp;U437)</f>
        <v>0</v>
      </c>
    </row>
    <row r="438" spans="20:22" x14ac:dyDescent="0.3">
      <c r="T438" s="39">
        <v>56705</v>
      </c>
      <c r="U438" s="39">
        <f t="shared" si="7"/>
        <v>56734</v>
      </c>
      <c r="V438" s="40">
        <f>SUMIFS(Income_Tracker_Table[Amount Earned],Income_Tracker_Table[Date Received],"&gt;="&amp;T438,Income_Tracker_Table[Date Received],"&lt;="&amp;U438)</f>
        <v>0</v>
      </c>
    </row>
    <row r="439" spans="20:22" x14ac:dyDescent="0.3">
      <c r="T439" s="39">
        <v>56735</v>
      </c>
      <c r="U439" s="39">
        <f t="shared" si="7"/>
        <v>56765</v>
      </c>
      <c r="V439" s="40">
        <f>SUMIFS(Income_Tracker_Table[Amount Earned],Income_Tracker_Table[Date Received],"&gt;="&amp;T439,Income_Tracker_Table[Date Received],"&lt;="&amp;U439)</f>
        <v>0</v>
      </c>
    </row>
    <row r="440" spans="20:22" x14ac:dyDescent="0.3">
      <c r="T440" s="39">
        <v>56766</v>
      </c>
      <c r="U440" s="39">
        <f t="shared" si="7"/>
        <v>56795</v>
      </c>
      <c r="V440" s="40">
        <f>SUMIFS(Income_Tracker_Table[Amount Earned],Income_Tracker_Table[Date Received],"&gt;="&amp;T440,Income_Tracker_Table[Date Received],"&lt;="&amp;U440)</f>
        <v>0</v>
      </c>
    </row>
    <row r="441" spans="20:22" x14ac:dyDescent="0.3">
      <c r="T441" s="39">
        <v>56796</v>
      </c>
      <c r="U441" s="39">
        <f t="shared" si="7"/>
        <v>56826</v>
      </c>
      <c r="V441" s="40">
        <f>SUMIFS(Income_Tracker_Table[Amount Earned],Income_Tracker_Table[Date Received],"&gt;="&amp;T441,Income_Tracker_Table[Date Received],"&lt;="&amp;U441)</f>
        <v>0</v>
      </c>
    </row>
    <row r="442" spans="20:22" x14ac:dyDescent="0.3">
      <c r="T442" s="39">
        <v>56827</v>
      </c>
      <c r="U442" s="39">
        <f t="shared" si="7"/>
        <v>56857</v>
      </c>
      <c r="V442" s="40">
        <f>SUMIFS(Income_Tracker_Table[Amount Earned],Income_Tracker_Table[Date Received],"&gt;="&amp;T442,Income_Tracker_Table[Date Received],"&lt;="&amp;U442)</f>
        <v>0</v>
      </c>
    </row>
    <row r="443" spans="20:22" x14ac:dyDescent="0.3">
      <c r="T443" s="39">
        <v>56858</v>
      </c>
      <c r="U443" s="39">
        <f t="shared" si="7"/>
        <v>56887</v>
      </c>
      <c r="V443" s="40">
        <f>SUMIFS(Income_Tracker_Table[Amount Earned],Income_Tracker_Table[Date Received],"&gt;="&amp;T443,Income_Tracker_Table[Date Received],"&lt;="&amp;U443)</f>
        <v>0</v>
      </c>
    </row>
    <row r="444" spans="20:22" x14ac:dyDescent="0.3">
      <c r="T444" s="39">
        <v>56888</v>
      </c>
      <c r="U444" s="39">
        <f t="shared" si="7"/>
        <v>56918</v>
      </c>
      <c r="V444" s="40">
        <f>SUMIFS(Income_Tracker_Table[Amount Earned],Income_Tracker_Table[Date Received],"&gt;="&amp;T444,Income_Tracker_Table[Date Received],"&lt;="&amp;U444)</f>
        <v>0</v>
      </c>
    </row>
    <row r="445" spans="20:22" x14ac:dyDescent="0.3">
      <c r="T445" s="39">
        <v>56919</v>
      </c>
      <c r="U445" s="39">
        <f t="shared" si="7"/>
        <v>56948</v>
      </c>
      <c r="V445" s="40">
        <f>SUMIFS(Income_Tracker_Table[Amount Earned],Income_Tracker_Table[Date Received],"&gt;="&amp;T445,Income_Tracker_Table[Date Received],"&lt;="&amp;U445)</f>
        <v>0</v>
      </c>
    </row>
    <row r="446" spans="20:22" x14ac:dyDescent="0.3">
      <c r="T446" s="39">
        <v>56949</v>
      </c>
      <c r="U446" s="39">
        <f t="shared" si="7"/>
        <v>56979</v>
      </c>
      <c r="V446" s="40">
        <f>SUMIFS(Income_Tracker_Table[Amount Earned],Income_Tracker_Table[Date Received],"&gt;="&amp;T446,Income_Tracker_Table[Date Received],"&lt;="&amp;U446)</f>
        <v>0</v>
      </c>
    </row>
    <row r="447" spans="20:22" x14ac:dyDescent="0.3">
      <c r="T447" s="39">
        <v>56980</v>
      </c>
      <c r="U447" s="39">
        <f t="shared" si="7"/>
        <v>57010</v>
      </c>
      <c r="V447" s="40">
        <f>SUMIFS(Income_Tracker_Table[Amount Earned],Income_Tracker_Table[Date Received],"&gt;="&amp;T447,Income_Tracker_Table[Date Received],"&lt;="&amp;U447)</f>
        <v>0</v>
      </c>
    </row>
    <row r="448" spans="20:22" x14ac:dyDescent="0.3">
      <c r="T448" s="39">
        <v>57011</v>
      </c>
      <c r="U448" s="39">
        <f t="shared" si="7"/>
        <v>57039</v>
      </c>
      <c r="V448" s="40">
        <f>SUMIFS(Income_Tracker_Table[Amount Earned],Income_Tracker_Table[Date Received],"&gt;="&amp;T448,Income_Tracker_Table[Date Received],"&lt;="&amp;U448)</f>
        <v>0</v>
      </c>
    </row>
    <row r="449" spans="20:22" x14ac:dyDescent="0.3">
      <c r="T449" s="39">
        <v>57040</v>
      </c>
      <c r="U449" s="39">
        <f t="shared" si="7"/>
        <v>57070</v>
      </c>
      <c r="V449" s="40">
        <f>SUMIFS(Income_Tracker_Table[Amount Earned],Income_Tracker_Table[Date Received],"&gt;="&amp;T449,Income_Tracker_Table[Date Received],"&lt;="&amp;U449)</f>
        <v>0</v>
      </c>
    </row>
    <row r="450" spans="20:22" x14ac:dyDescent="0.3">
      <c r="T450" s="39">
        <v>57071</v>
      </c>
      <c r="U450" s="39">
        <f t="shared" si="7"/>
        <v>57100</v>
      </c>
      <c r="V450" s="40">
        <f>SUMIFS(Income_Tracker_Table[Amount Earned],Income_Tracker_Table[Date Received],"&gt;="&amp;T450,Income_Tracker_Table[Date Received],"&lt;="&amp;U450)</f>
        <v>0</v>
      </c>
    </row>
    <row r="451" spans="20:22" x14ac:dyDescent="0.3">
      <c r="T451" s="39">
        <v>57101</v>
      </c>
      <c r="U451" s="39">
        <f t="shared" si="7"/>
        <v>57131</v>
      </c>
      <c r="V451" s="40">
        <f>SUMIFS(Income_Tracker_Table[Amount Earned],Income_Tracker_Table[Date Received],"&gt;="&amp;T451,Income_Tracker_Table[Date Received],"&lt;="&amp;U451)</f>
        <v>0</v>
      </c>
    </row>
    <row r="452" spans="20:22" x14ac:dyDescent="0.3">
      <c r="T452" s="39">
        <v>57132</v>
      </c>
      <c r="U452" s="39">
        <f t="shared" si="7"/>
        <v>57161</v>
      </c>
      <c r="V452" s="40">
        <f>SUMIFS(Income_Tracker_Table[Amount Earned],Income_Tracker_Table[Date Received],"&gt;="&amp;T452,Income_Tracker_Table[Date Received],"&lt;="&amp;U452)</f>
        <v>0</v>
      </c>
    </row>
    <row r="453" spans="20:22" x14ac:dyDescent="0.3">
      <c r="T453" s="39">
        <v>57162</v>
      </c>
      <c r="U453" s="39">
        <f t="shared" si="7"/>
        <v>57192</v>
      </c>
      <c r="V453" s="40">
        <f>SUMIFS(Income_Tracker_Table[Amount Earned],Income_Tracker_Table[Date Received],"&gt;="&amp;T453,Income_Tracker_Table[Date Received],"&lt;="&amp;U453)</f>
        <v>0</v>
      </c>
    </row>
    <row r="454" spans="20:22" x14ac:dyDescent="0.3">
      <c r="T454" s="39">
        <v>57193</v>
      </c>
      <c r="U454" s="39">
        <f t="shared" si="7"/>
        <v>57223</v>
      </c>
      <c r="V454" s="40">
        <f>SUMIFS(Income_Tracker_Table[Amount Earned],Income_Tracker_Table[Date Received],"&gt;="&amp;T454,Income_Tracker_Table[Date Received],"&lt;="&amp;U454)</f>
        <v>0</v>
      </c>
    </row>
    <row r="455" spans="20:22" x14ac:dyDescent="0.3">
      <c r="T455" s="39">
        <v>57224</v>
      </c>
      <c r="U455" s="39">
        <f t="shared" si="7"/>
        <v>57253</v>
      </c>
      <c r="V455" s="40">
        <f>SUMIFS(Income_Tracker_Table[Amount Earned],Income_Tracker_Table[Date Received],"&gt;="&amp;T455,Income_Tracker_Table[Date Received],"&lt;="&amp;U455)</f>
        <v>0</v>
      </c>
    </row>
    <row r="456" spans="20:22" x14ac:dyDescent="0.3">
      <c r="T456" s="39">
        <v>57254</v>
      </c>
      <c r="U456" s="39">
        <f t="shared" si="7"/>
        <v>57284</v>
      </c>
      <c r="V456" s="40">
        <f>SUMIFS(Income_Tracker_Table[Amount Earned],Income_Tracker_Table[Date Received],"&gt;="&amp;T456,Income_Tracker_Table[Date Received],"&lt;="&amp;U456)</f>
        <v>0</v>
      </c>
    </row>
    <row r="457" spans="20:22" x14ac:dyDescent="0.3">
      <c r="T457" s="39">
        <v>57285</v>
      </c>
      <c r="U457" s="39">
        <f t="shared" ref="U457:U520" si="8">EOMONTH(T457,0)</f>
        <v>57314</v>
      </c>
      <c r="V457" s="40">
        <f>SUMIFS(Income_Tracker_Table[Amount Earned],Income_Tracker_Table[Date Received],"&gt;="&amp;T457,Income_Tracker_Table[Date Received],"&lt;="&amp;U457)</f>
        <v>0</v>
      </c>
    </row>
    <row r="458" spans="20:22" x14ac:dyDescent="0.3">
      <c r="T458" s="39">
        <v>57315</v>
      </c>
      <c r="U458" s="39">
        <f t="shared" si="8"/>
        <v>57345</v>
      </c>
      <c r="V458" s="40">
        <f>SUMIFS(Income_Tracker_Table[Amount Earned],Income_Tracker_Table[Date Received],"&gt;="&amp;T458,Income_Tracker_Table[Date Received],"&lt;="&amp;U458)</f>
        <v>0</v>
      </c>
    </row>
    <row r="459" spans="20:22" x14ac:dyDescent="0.3">
      <c r="T459" s="39">
        <v>57346</v>
      </c>
      <c r="U459" s="39">
        <f t="shared" si="8"/>
        <v>57376</v>
      </c>
      <c r="V459" s="40">
        <f>SUMIFS(Income_Tracker_Table[Amount Earned],Income_Tracker_Table[Date Received],"&gt;="&amp;T459,Income_Tracker_Table[Date Received],"&lt;="&amp;U459)</f>
        <v>0</v>
      </c>
    </row>
    <row r="460" spans="20:22" x14ac:dyDescent="0.3">
      <c r="T460" s="39">
        <v>57377</v>
      </c>
      <c r="U460" s="39">
        <f t="shared" si="8"/>
        <v>57404</v>
      </c>
      <c r="V460" s="40">
        <f>SUMIFS(Income_Tracker_Table[Amount Earned],Income_Tracker_Table[Date Received],"&gt;="&amp;T460,Income_Tracker_Table[Date Received],"&lt;="&amp;U460)</f>
        <v>0</v>
      </c>
    </row>
    <row r="461" spans="20:22" x14ac:dyDescent="0.3">
      <c r="T461" s="39">
        <v>57405</v>
      </c>
      <c r="U461" s="39">
        <f t="shared" si="8"/>
        <v>57435</v>
      </c>
      <c r="V461" s="40">
        <f>SUMIFS(Income_Tracker_Table[Amount Earned],Income_Tracker_Table[Date Received],"&gt;="&amp;T461,Income_Tracker_Table[Date Received],"&lt;="&amp;U461)</f>
        <v>0</v>
      </c>
    </row>
    <row r="462" spans="20:22" x14ac:dyDescent="0.3">
      <c r="T462" s="39">
        <v>57436</v>
      </c>
      <c r="U462" s="39">
        <f t="shared" si="8"/>
        <v>57465</v>
      </c>
      <c r="V462" s="40">
        <f>SUMIFS(Income_Tracker_Table[Amount Earned],Income_Tracker_Table[Date Received],"&gt;="&amp;T462,Income_Tracker_Table[Date Received],"&lt;="&amp;U462)</f>
        <v>0</v>
      </c>
    </row>
    <row r="463" spans="20:22" x14ac:dyDescent="0.3">
      <c r="T463" s="39">
        <v>57466</v>
      </c>
      <c r="U463" s="39">
        <f t="shared" si="8"/>
        <v>57496</v>
      </c>
      <c r="V463" s="40">
        <f>SUMIFS(Income_Tracker_Table[Amount Earned],Income_Tracker_Table[Date Received],"&gt;="&amp;T463,Income_Tracker_Table[Date Received],"&lt;="&amp;U463)</f>
        <v>0</v>
      </c>
    </row>
    <row r="464" spans="20:22" x14ac:dyDescent="0.3">
      <c r="T464" s="39">
        <v>57497</v>
      </c>
      <c r="U464" s="39">
        <f t="shared" si="8"/>
        <v>57526</v>
      </c>
      <c r="V464" s="40">
        <f>SUMIFS(Income_Tracker_Table[Amount Earned],Income_Tracker_Table[Date Received],"&gt;="&amp;T464,Income_Tracker_Table[Date Received],"&lt;="&amp;U464)</f>
        <v>0</v>
      </c>
    </row>
    <row r="465" spans="20:22" x14ac:dyDescent="0.3">
      <c r="T465" s="39">
        <v>57527</v>
      </c>
      <c r="U465" s="39">
        <f t="shared" si="8"/>
        <v>57557</v>
      </c>
      <c r="V465" s="40">
        <f>SUMIFS(Income_Tracker_Table[Amount Earned],Income_Tracker_Table[Date Received],"&gt;="&amp;T465,Income_Tracker_Table[Date Received],"&lt;="&amp;U465)</f>
        <v>0</v>
      </c>
    </row>
    <row r="466" spans="20:22" x14ac:dyDescent="0.3">
      <c r="T466" s="39">
        <v>57558</v>
      </c>
      <c r="U466" s="39">
        <f t="shared" si="8"/>
        <v>57588</v>
      </c>
      <c r="V466" s="40">
        <f>SUMIFS(Income_Tracker_Table[Amount Earned],Income_Tracker_Table[Date Received],"&gt;="&amp;T466,Income_Tracker_Table[Date Received],"&lt;="&amp;U466)</f>
        <v>0</v>
      </c>
    </row>
    <row r="467" spans="20:22" x14ac:dyDescent="0.3">
      <c r="T467" s="39">
        <v>57589</v>
      </c>
      <c r="U467" s="39">
        <f t="shared" si="8"/>
        <v>57618</v>
      </c>
      <c r="V467" s="40">
        <f>SUMIFS(Income_Tracker_Table[Amount Earned],Income_Tracker_Table[Date Received],"&gt;="&amp;T467,Income_Tracker_Table[Date Received],"&lt;="&amp;U467)</f>
        <v>0</v>
      </c>
    </row>
    <row r="468" spans="20:22" x14ac:dyDescent="0.3">
      <c r="T468" s="39">
        <v>57619</v>
      </c>
      <c r="U468" s="39">
        <f t="shared" si="8"/>
        <v>57649</v>
      </c>
      <c r="V468" s="40">
        <f>SUMIFS(Income_Tracker_Table[Amount Earned],Income_Tracker_Table[Date Received],"&gt;="&amp;T468,Income_Tracker_Table[Date Received],"&lt;="&amp;U468)</f>
        <v>0</v>
      </c>
    </row>
    <row r="469" spans="20:22" x14ac:dyDescent="0.3">
      <c r="T469" s="39">
        <v>57650</v>
      </c>
      <c r="U469" s="39">
        <f t="shared" si="8"/>
        <v>57679</v>
      </c>
      <c r="V469" s="40">
        <f>SUMIFS(Income_Tracker_Table[Amount Earned],Income_Tracker_Table[Date Received],"&gt;="&amp;T469,Income_Tracker_Table[Date Received],"&lt;="&amp;U469)</f>
        <v>0</v>
      </c>
    </row>
    <row r="470" spans="20:22" x14ac:dyDescent="0.3">
      <c r="T470" s="39">
        <v>57680</v>
      </c>
      <c r="U470" s="39">
        <f t="shared" si="8"/>
        <v>57710</v>
      </c>
      <c r="V470" s="40">
        <f>SUMIFS(Income_Tracker_Table[Amount Earned],Income_Tracker_Table[Date Received],"&gt;="&amp;T470,Income_Tracker_Table[Date Received],"&lt;="&amp;U470)</f>
        <v>0</v>
      </c>
    </row>
    <row r="471" spans="20:22" x14ac:dyDescent="0.3">
      <c r="T471" s="39">
        <v>57711</v>
      </c>
      <c r="U471" s="39">
        <f t="shared" si="8"/>
        <v>57741</v>
      </c>
      <c r="V471" s="40">
        <f>SUMIFS(Income_Tracker_Table[Amount Earned],Income_Tracker_Table[Date Received],"&gt;="&amp;T471,Income_Tracker_Table[Date Received],"&lt;="&amp;U471)</f>
        <v>0</v>
      </c>
    </row>
    <row r="472" spans="20:22" x14ac:dyDescent="0.3">
      <c r="T472" s="39">
        <v>57742</v>
      </c>
      <c r="U472" s="39">
        <f t="shared" si="8"/>
        <v>57769</v>
      </c>
      <c r="V472" s="40">
        <f>SUMIFS(Income_Tracker_Table[Amount Earned],Income_Tracker_Table[Date Received],"&gt;="&amp;T472,Income_Tracker_Table[Date Received],"&lt;="&amp;U472)</f>
        <v>0</v>
      </c>
    </row>
    <row r="473" spans="20:22" x14ac:dyDescent="0.3">
      <c r="T473" s="39">
        <v>57770</v>
      </c>
      <c r="U473" s="39">
        <f t="shared" si="8"/>
        <v>57800</v>
      </c>
      <c r="V473" s="40">
        <f>SUMIFS(Income_Tracker_Table[Amount Earned],Income_Tracker_Table[Date Received],"&gt;="&amp;T473,Income_Tracker_Table[Date Received],"&lt;="&amp;U473)</f>
        <v>0</v>
      </c>
    </row>
    <row r="474" spans="20:22" x14ac:dyDescent="0.3">
      <c r="T474" s="39">
        <v>57801</v>
      </c>
      <c r="U474" s="39">
        <f t="shared" si="8"/>
        <v>57830</v>
      </c>
      <c r="V474" s="40">
        <f>SUMIFS(Income_Tracker_Table[Amount Earned],Income_Tracker_Table[Date Received],"&gt;="&amp;T474,Income_Tracker_Table[Date Received],"&lt;="&amp;U474)</f>
        <v>0</v>
      </c>
    </row>
    <row r="475" spans="20:22" x14ac:dyDescent="0.3">
      <c r="T475" s="39">
        <v>57831</v>
      </c>
      <c r="U475" s="39">
        <f t="shared" si="8"/>
        <v>57861</v>
      </c>
      <c r="V475" s="40">
        <f>SUMIFS(Income_Tracker_Table[Amount Earned],Income_Tracker_Table[Date Received],"&gt;="&amp;T475,Income_Tracker_Table[Date Received],"&lt;="&amp;U475)</f>
        <v>0</v>
      </c>
    </row>
    <row r="476" spans="20:22" x14ac:dyDescent="0.3">
      <c r="T476" s="39">
        <v>57862</v>
      </c>
      <c r="U476" s="39">
        <f t="shared" si="8"/>
        <v>57891</v>
      </c>
      <c r="V476" s="40">
        <f>SUMIFS(Income_Tracker_Table[Amount Earned],Income_Tracker_Table[Date Received],"&gt;="&amp;T476,Income_Tracker_Table[Date Received],"&lt;="&amp;U476)</f>
        <v>0</v>
      </c>
    </row>
    <row r="477" spans="20:22" x14ac:dyDescent="0.3">
      <c r="T477" s="39">
        <v>57892</v>
      </c>
      <c r="U477" s="39">
        <f t="shared" si="8"/>
        <v>57922</v>
      </c>
      <c r="V477" s="40">
        <f>SUMIFS(Income_Tracker_Table[Amount Earned],Income_Tracker_Table[Date Received],"&gt;="&amp;T477,Income_Tracker_Table[Date Received],"&lt;="&amp;U477)</f>
        <v>0</v>
      </c>
    </row>
    <row r="478" spans="20:22" x14ac:dyDescent="0.3">
      <c r="T478" s="39">
        <v>57923</v>
      </c>
      <c r="U478" s="39">
        <f t="shared" si="8"/>
        <v>57953</v>
      </c>
      <c r="V478" s="40">
        <f>SUMIFS(Income_Tracker_Table[Amount Earned],Income_Tracker_Table[Date Received],"&gt;="&amp;T478,Income_Tracker_Table[Date Received],"&lt;="&amp;U478)</f>
        <v>0</v>
      </c>
    </row>
    <row r="479" spans="20:22" x14ac:dyDescent="0.3">
      <c r="T479" s="39">
        <v>57954</v>
      </c>
      <c r="U479" s="39">
        <f t="shared" si="8"/>
        <v>57983</v>
      </c>
      <c r="V479" s="40">
        <f>SUMIFS(Income_Tracker_Table[Amount Earned],Income_Tracker_Table[Date Received],"&gt;="&amp;T479,Income_Tracker_Table[Date Received],"&lt;="&amp;U479)</f>
        <v>0</v>
      </c>
    </row>
    <row r="480" spans="20:22" x14ac:dyDescent="0.3">
      <c r="T480" s="39">
        <v>57984</v>
      </c>
      <c r="U480" s="39">
        <f t="shared" si="8"/>
        <v>58014</v>
      </c>
      <c r="V480" s="40">
        <f>SUMIFS(Income_Tracker_Table[Amount Earned],Income_Tracker_Table[Date Received],"&gt;="&amp;T480,Income_Tracker_Table[Date Received],"&lt;="&amp;U480)</f>
        <v>0</v>
      </c>
    </row>
    <row r="481" spans="20:22" x14ac:dyDescent="0.3">
      <c r="T481" s="39">
        <v>58015</v>
      </c>
      <c r="U481" s="39">
        <f t="shared" si="8"/>
        <v>58044</v>
      </c>
      <c r="V481" s="40">
        <f>SUMIFS(Income_Tracker_Table[Amount Earned],Income_Tracker_Table[Date Received],"&gt;="&amp;T481,Income_Tracker_Table[Date Received],"&lt;="&amp;U481)</f>
        <v>0</v>
      </c>
    </row>
    <row r="482" spans="20:22" x14ac:dyDescent="0.3">
      <c r="T482" s="39">
        <v>58045</v>
      </c>
      <c r="U482" s="39">
        <f t="shared" si="8"/>
        <v>58075</v>
      </c>
      <c r="V482" s="40">
        <f>SUMIFS(Income_Tracker_Table[Amount Earned],Income_Tracker_Table[Date Received],"&gt;="&amp;T482,Income_Tracker_Table[Date Received],"&lt;="&amp;U482)</f>
        <v>0</v>
      </c>
    </row>
    <row r="483" spans="20:22" x14ac:dyDescent="0.3">
      <c r="T483" s="39">
        <v>58076</v>
      </c>
      <c r="U483" s="39">
        <f t="shared" si="8"/>
        <v>58106</v>
      </c>
      <c r="V483" s="40">
        <f>SUMIFS(Income_Tracker_Table[Amount Earned],Income_Tracker_Table[Date Received],"&gt;="&amp;T483,Income_Tracker_Table[Date Received],"&lt;="&amp;U483)</f>
        <v>0</v>
      </c>
    </row>
    <row r="484" spans="20:22" x14ac:dyDescent="0.3">
      <c r="T484" s="39">
        <v>58107</v>
      </c>
      <c r="U484" s="39">
        <f t="shared" si="8"/>
        <v>58134</v>
      </c>
      <c r="V484" s="40">
        <f>SUMIFS(Income_Tracker_Table[Amount Earned],Income_Tracker_Table[Date Received],"&gt;="&amp;T484,Income_Tracker_Table[Date Received],"&lt;="&amp;U484)</f>
        <v>0</v>
      </c>
    </row>
    <row r="485" spans="20:22" x14ac:dyDescent="0.3">
      <c r="T485" s="39">
        <v>58135</v>
      </c>
      <c r="U485" s="39">
        <f t="shared" si="8"/>
        <v>58165</v>
      </c>
      <c r="V485" s="40">
        <f>SUMIFS(Income_Tracker_Table[Amount Earned],Income_Tracker_Table[Date Received],"&gt;="&amp;T485,Income_Tracker_Table[Date Received],"&lt;="&amp;U485)</f>
        <v>0</v>
      </c>
    </row>
    <row r="486" spans="20:22" x14ac:dyDescent="0.3">
      <c r="T486" s="39">
        <v>58166</v>
      </c>
      <c r="U486" s="39">
        <f t="shared" si="8"/>
        <v>58195</v>
      </c>
      <c r="V486" s="40">
        <f>SUMIFS(Income_Tracker_Table[Amount Earned],Income_Tracker_Table[Date Received],"&gt;="&amp;T486,Income_Tracker_Table[Date Received],"&lt;="&amp;U486)</f>
        <v>0</v>
      </c>
    </row>
    <row r="487" spans="20:22" x14ac:dyDescent="0.3">
      <c r="T487" s="39">
        <v>58196</v>
      </c>
      <c r="U487" s="39">
        <f t="shared" si="8"/>
        <v>58226</v>
      </c>
      <c r="V487" s="40">
        <f>SUMIFS(Income_Tracker_Table[Amount Earned],Income_Tracker_Table[Date Received],"&gt;="&amp;T487,Income_Tracker_Table[Date Received],"&lt;="&amp;U487)</f>
        <v>0</v>
      </c>
    </row>
    <row r="488" spans="20:22" x14ac:dyDescent="0.3">
      <c r="T488" s="39">
        <v>58227</v>
      </c>
      <c r="U488" s="39">
        <f t="shared" si="8"/>
        <v>58256</v>
      </c>
      <c r="V488" s="40">
        <f>SUMIFS(Income_Tracker_Table[Amount Earned],Income_Tracker_Table[Date Received],"&gt;="&amp;T488,Income_Tracker_Table[Date Received],"&lt;="&amp;U488)</f>
        <v>0</v>
      </c>
    </row>
    <row r="489" spans="20:22" x14ac:dyDescent="0.3">
      <c r="T489" s="39">
        <v>58257</v>
      </c>
      <c r="U489" s="39">
        <f t="shared" si="8"/>
        <v>58287</v>
      </c>
      <c r="V489" s="40">
        <f>SUMIFS(Income_Tracker_Table[Amount Earned],Income_Tracker_Table[Date Received],"&gt;="&amp;T489,Income_Tracker_Table[Date Received],"&lt;="&amp;U489)</f>
        <v>0</v>
      </c>
    </row>
    <row r="490" spans="20:22" x14ac:dyDescent="0.3">
      <c r="T490" s="39">
        <v>58288</v>
      </c>
      <c r="U490" s="39">
        <f t="shared" si="8"/>
        <v>58318</v>
      </c>
      <c r="V490" s="40">
        <f>SUMIFS(Income_Tracker_Table[Amount Earned],Income_Tracker_Table[Date Received],"&gt;="&amp;T490,Income_Tracker_Table[Date Received],"&lt;="&amp;U490)</f>
        <v>0</v>
      </c>
    </row>
    <row r="491" spans="20:22" x14ac:dyDescent="0.3">
      <c r="T491" s="39">
        <v>58319</v>
      </c>
      <c r="U491" s="39">
        <f t="shared" si="8"/>
        <v>58348</v>
      </c>
      <c r="V491" s="40">
        <f>SUMIFS(Income_Tracker_Table[Amount Earned],Income_Tracker_Table[Date Received],"&gt;="&amp;T491,Income_Tracker_Table[Date Received],"&lt;="&amp;U491)</f>
        <v>0</v>
      </c>
    </row>
    <row r="492" spans="20:22" x14ac:dyDescent="0.3">
      <c r="T492" s="39">
        <v>58349</v>
      </c>
      <c r="U492" s="39">
        <f t="shared" si="8"/>
        <v>58379</v>
      </c>
      <c r="V492" s="40">
        <f>SUMIFS(Income_Tracker_Table[Amount Earned],Income_Tracker_Table[Date Received],"&gt;="&amp;T492,Income_Tracker_Table[Date Received],"&lt;="&amp;U492)</f>
        <v>0</v>
      </c>
    </row>
    <row r="493" spans="20:22" x14ac:dyDescent="0.3">
      <c r="T493" s="39">
        <v>58380</v>
      </c>
      <c r="U493" s="39">
        <f t="shared" si="8"/>
        <v>58409</v>
      </c>
      <c r="V493" s="40">
        <f>SUMIFS(Income_Tracker_Table[Amount Earned],Income_Tracker_Table[Date Received],"&gt;="&amp;T493,Income_Tracker_Table[Date Received],"&lt;="&amp;U493)</f>
        <v>0</v>
      </c>
    </row>
    <row r="494" spans="20:22" x14ac:dyDescent="0.3">
      <c r="T494" s="39">
        <v>58410</v>
      </c>
      <c r="U494" s="39">
        <f t="shared" si="8"/>
        <v>58440</v>
      </c>
      <c r="V494" s="40">
        <f>SUMIFS(Income_Tracker_Table[Amount Earned],Income_Tracker_Table[Date Received],"&gt;="&amp;T494,Income_Tracker_Table[Date Received],"&lt;="&amp;U494)</f>
        <v>0</v>
      </c>
    </row>
    <row r="495" spans="20:22" x14ac:dyDescent="0.3">
      <c r="T495" s="39">
        <v>58441</v>
      </c>
      <c r="U495" s="39">
        <f t="shared" si="8"/>
        <v>58471</v>
      </c>
      <c r="V495" s="40">
        <f>SUMIFS(Income_Tracker_Table[Amount Earned],Income_Tracker_Table[Date Received],"&gt;="&amp;T495,Income_Tracker_Table[Date Received],"&lt;="&amp;U495)</f>
        <v>0</v>
      </c>
    </row>
    <row r="496" spans="20:22" x14ac:dyDescent="0.3">
      <c r="T496" s="39">
        <v>58472</v>
      </c>
      <c r="U496" s="39">
        <f t="shared" si="8"/>
        <v>58500</v>
      </c>
      <c r="V496" s="40">
        <f>SUMIFS(Income_Tracker_Table[Amount Earned],Income_Tracker_Table[Date Received],"&gt;="&amp;T496,Income_Tracker_Table[Date Received],"&lt;="&amp;U496)</f>
        <v>0</v>
      </c>
    </row>
    <row r="497" spans="20:22" x14ac:dyDescent="0.3">
      <c r="T497" s="39">
        <v>58501</v>
      </c>
      <c r="U497" s="39">
        <f t="shared" si="8"/>
        <v>58531</v>
      </c>
      <c r="V497" s="40">
        <f>SUMIFS(Income_Tracker_Table[Amount Earned],Income_Tracker_Table[Date Received],"&gt;="&amp;T497,Income_Tracker_Table[Date Received],"&lt;="&amp;U497)</f>
        <v>0</v>
      </c>
    </row>
    <row r="498" spans="20:22" x14ac:dyDescent="0.3">
      <c r="T498" s="39">
        <v>58532</v>
      </c>
      <c r="U498" s="39">
        <f t="shared" si="8"/>
        <v>58561</v>
      </c>
      <c r="V498" s="40">
        <f>SUMIFS(Income_Tracker_Table[Amount Earned],Income_Tracker_Table[Date Received],"&gt;="&amp;T498,Income_Tracker_Table[Date Received],"&lt;="&amp;U498)</f>
        <v>0</v>
      </c>
    </row>
    <row r="499" spans="20:22" x14ac:dyDescent="0.3">
      <c r="T499" s="39">
        <v>58562</v>
      </c>
      <c r="U499" s="39">
        <f t="shared" si="8"/>
        <v>58592</v>
      </c>
      <c r="V499" s="40">
        <f>SUMIFS(Income_Tracker_Table[Amount Earned],Income_Tracker_Table[Date Received],"&gt;="&amp;T499,Income_Tracker_Table[Date Received],"&lt;="&amp;U499)</f>
        <v>0</v>
      </c>
    </row>
    <row r="500" spans="20:22" x14ac:dyDescent="0.3">
      <c r="T500" s="39">
        <v>58593</v>
      </c>
      <c r="U500" s="39">
        <f t="shared" si="8"/>
        <v>58622</v>
      </c>
      <c r="V500" s="40">
        <f>SUMIFS(Income_Tracker_Table[Amount Earned],Income_Tracker_Table[Date Received],"&gt;="&amp;T500,Income_Tracker_Table[Date Received],"&lt;="&amp;U500)</f>
        <v>0</v>
      </c>
    </row>
    <row r="501" spans="20:22" x14ac:dyDescent="0.3">
      <c r="T501" s="39">
        <v>58623</v>
      </c>
      <c r="U501" s="39">
        <f t="shared" si="8"/>
        <v>58653</v>
      </c>
      <c r="V501" s="40">
        <f>SUMIFS(Income_Tracker_Table[Amount Earned],Income_Tracker_Table[Date Received],"&gt;="&amp;T501,Income_Tracker_Table[Date Received],"&lt;="&amp;U501)</f>
        <v>0</v>
      </c>
    </row>
    <row r="502" spans="20:22" x14ac:dyDescent="0.3">
      <c r="T502" s="39">
        <v>58654</v>
      </c>
      <c r="U502" s="39">
        <f t="shared" si="8"/>
        <v>58684</v>
      </c>
      <c r="V502" s="40">
        <f>SUMIFS(Income_Tracker_Table[Amount Earned],Income_Tracker_Table[Date Received],"&gt;="&amp;T502,Income_Tracker_Table[Date Received],"&lt;="&amp;U502)</f>
        <v>0</v>
      </c>
    </row>
    <row r="503" spans="20:22" x14ac:dyDescent="0.3">
      <c r="T503" s="39">
        <v>58685</v>
      </c>
      <c r="U503" s="39">
        <f t="shared" si="8"/>
        <v>58714</v>
      </c>
      <c r="V503" s="40">
        <f>SUMIFS(Income_Tracker_Table[Amount Earned],Income_Tracker_Table[Date Received],"&gt;="&amp;T503,Income_Tracker_Table[Date Received],"&lt;="&amp;U503)</f>
        <v>0</v>
      </c>
    </row>
    <row r="504" spans="20:22" x14ac:dyDescent="0.3">
      <c r="T504" s="39">
        <v>58715</v>
      </c>
      <c r="U504" s="39">
        <f t="shared" si="8"/>
        <v>58745</v>
      </c>
      <c r="V504" s="40">
        <f>SUMIFS(Income_Tracker_Table[Amount Earned],Income_Tracker_Table[Date Received],"&gt;="&amp;T504,Income_Tracker_Table[Date Received],"&lt;="&amp;U504)</f>
        <v>0</v>
      </c>
    </row>
    <row r="505" spans="20:22" x14ac:dyDescent="0.3">
      <c r="T505" s="39">
        <v>58746</v>
      </c>
      <c r="U505" s="39">
        <f t="shared" si="8"/>
        <v>58775</v>
      </c>
      <c r="V505" s="40">
        <f>SUMIFS(Income_Tracker_Table[Amount Earned],Income_Tracker_Table[Date Received],"&gt;="&amp;T505,Income_Tracker_Table[Date Received],"&lt;="&amp;U505)</f>
        <v>0</v>
      </c>
    </row>
    <row r="506" spans="20:22" x14ac:dyDescent="0.3">
      <c r="T506" s="39">
        <v>58776</v>
      </c>
      <c r="U506" s="39">
        <f t="shared" si="8"/>
        <v>58806</v>
      </c>
      <c r="V506" s="40">
        <f>SUMIFS(Income_Tracker_Table[Amount Earned],Income_Tracker_Table[Date Received],"&gt;="&amp;T506,Income_Tracker_Table[Date Received],"&lt;="&amp;U506)</f>
        <v>0</v>
      </c>
    </row>
    <row r="507" spans="20:22" x14ac:dyDescent="0.3">
      <c r="T507" s="39">
        <v>58807</v>
      </c>
      <c r="U507" s="39">
        <f t="shared" si="8"/>
        <v>58837</v>
      </c>
      <c r="V507" s="40">
        <f>SUMIFS(Income_Tracker_Table[Amount Earned],Income_Tracker_Table[Date Received],"&gt;="&amp;T507,Income_Tracker_Table[Date Received],"&lt;="&amp;U507)</f>
        <v>0</v>
      </c>
    </row>
    <row r="508" spans="20:22" x14ac:dyDescent="0.3">
      <c r="T508" s="39">
        <v>58838</v>
      </c>
      <c r="U508" s="39">
        <f t="shared" si="8"/>
        <v>58865</v>
      </c>
      <c r="V508" s="40">
        <f>SUMIFS(Income_Tracker_Table[Amount Earned],Income_Tracker_Table[Date Received],"&gt;="&amp;T508,Income_Tracker_Table[Date Received],"&lt;="&amp;U508)</f>
        <v>0</v>
      </c>
    </row>
    <row r="509" spans="20:22" x14ac:dyDescent="0.3">
      <c r="T509" s="39">
        <v>58866</v>
      </c>
      <c r="U509" s="39">
        <f t="shared" si="8"/>
        <v>58896</v>
      </c>
      <c r="V509" s="40">
        <f>SUMIFS(Income_Tracker_Table[Amount Earned],Income_Tracker_Table[Date Received],"&gt;="&amp;T509,Income_Tracker_Table[Date Received],"&lt;="&amp;U509)</f>
        <v>0</v>
      </c>
    </row>
    <row r="510" spans="20:22" x14ac:dyDescent="0.3">
      <c r="T510" s="39">
        <v>58897</v>
      </c>
      <c r="U510" s="39">
        <f t="shared" si="8"/>
        <v>58926</v>
      </c>
      <c r="V510" s="40">
        <f>SUMIFS(Income_Tracker_Table[Amount Earned],Income_Tracker_Table[Date Received],"&gt;="&amp;T510,Income_Tracker_Table[Date Received],"&lt;="&amp;U510)</f>
        <v>0</v>
      </c>
    </row>
    <row r="511" spans="20:22" x14ac:dyDescent="0.3">
      <c r="T511" s="39">
        <v>58927</v>
      </c>
      <c r="U511" s="39">
        <f t="shared" si="8"/>
        <v>58957</v>
      </c>
      <c r="V511" s="40">
        <f>SUMIFS(Income_Tracker_Table[Amount Earned],Income_Tracker_Table[Date Received],"&gt;="&amp;T511,Income_Tracker_Table[Date Received],"&lt;="&amp;U511)</f>
        <v>0</v>
      </c>
    </row>
    <row r="512" spans="20:22" x14ac:dyDescent="0.3">
      <c r="T512" s="39">
        <v>58958</v>
      </c>
      <c r="U512" s="39">
        <f t="shared" si="8"/>
        <v>58987</v>
      </c>
      <c r="V512" s="40">
        <f>SUMIFS(Income_Tracker_Table[Amount Earned],Income_Tracker_Table[Date Received],"&gt;="&amp;T512,Income_Tracker_Table[Date Received],"&lt;="&amp;U512)</f>
        <v>0</v>
      </c>
    </row>
    <row r="513" spans="20:22" x14ac:dyDescent="0.3">
      <c r="T513" s="39">
        <v>58988</v>
      </c>
      <c r="U513" s="39">
        <f t="shared" si="8"/>
        <v>59018</v>
      </c>
      <c r="V513" s="40">
        <f>SUMIFS(Income_Tracker_Table[Amount Earned],Income_Tracker_Table[Date Received],"&gt;="&amp;T513,Income_Tracker_Table[Date Received],"&lt;="&amp;U513)</f>
        <v>0</v>
      </c>
    </row>
    <row r="514" spans="20:22" x14ac:dyDescent="0.3">
      <c r="T514" s="39">
        <v>59019</v>
      </c>
      <c r="U514" s="39">
        <f t="shared" si="8"/>
        <v>59049</v>
      </c>
      <c r="V514" s="40">
        <f>SUMIFS(Income_Tracker_Table[Amount Earned],Income_Tracker_Table[Date Received],"&gt;="&amp;T514,Income_Tracker_Table[Date Received],"&lt;="&amp;U514)</f>
        <v>0</v>
      </c>
    </row>
    <row r="515" spans="20:22" x14ac:dyDescent="0.3">
      <c r="T515" s="39">
        <v>59050</v>
      </c>
      <c r="U515" s="39">
        <f t="shared" si="8"/>
        <v>59079</v>
      </c>
      <c r="V515" s="40">
        <f>SUMIFS(Income_Tracker_Table[Amount Earned],Income_Tracker_Table[Date Received],"&gt;="&amp;T515,Income_Tracker_Table[Date Received],"&lt;="&amp;U515)</f>
        <v>0</v>
      </c>
    </row>
    <row r="516" spans="20:22" x14ac:dyDescent="0.3">
      <c r="T516" s="39">
        <v>59080</v>
      </c>
      <c r="U516" s="39">
        <f t="shared" si="8"/>
        <v>59110</v>
      </c>
      <c r="V516" s="40">
        <f>SUMIFS(Income_Tracker_Table[Amount Earned],Income_Tracker_Table[Date Received],"&gt;="&amp;T516,Income_Tracker_Table[Date Received],"&lt;="&amp;U516)</f>
        <v>0</v>
      </c>
    </row>
    <row r="517" spans="20:22" x14ac:dyDescent="0.3">
      <c r="T517" s="39">
        <v>59111</v>
      </c>
      <c r="U517" s="39">
        <f t="shared" si="8"/>
        <v>59140</v>
      </c>
      <c r="V517" s="40">
        <f>SUMIFS(Income_Tracker_Table[Amount Earned],Income_Tracker_Table[Date Received],"&gt;="&amp;T517,Income_Tracker_Table[Date Received],"&lt;="&amp;U517)</f>
        <v>0</v>
      </c>
    </row>
    <row r="518" spans="20:22" x14ac:dyDescent="0.3">
      <c r="T518" s="39">
        <v>59141</v>
      </c>
      <c r="U518" s="39">
        <f t="shared" si="8"/>
        <v>59171</v>
      </c>
      <c r="V518" s="40">
        <f>SUMIFS(Income_Tracker_Table[Amount Earned],Income_Tracker_Table[Date Received],"&gt;="&amp;T518,Income_Tracker_Table[Date Received],"&lt;="&amp;U518)</f>
        <v>0</v>
      </c>
    </row>
    <row r="519" spans="20:22" x14ac:dyDescent="0.3">
      <c r="T519" s="39">
        <v>59172</v>
      </c>
      <c r="U519" s="39">
        <f t="shared" si="8"/>
        <v>59202</v>
      </c>
      <c r="V519" s="40">
        <f>SUMIFS(Income_Tracker_Table[Amount Earned],Income_Tracker_Table[Date Received],"&gt;="&amp;T519,Income_Tracker_Table[Date Received],"&lt;="&amp;U519)</f>
        <v>0</v>
      </c>
    </row>
    <row r="520" spans="20:22" x14ac:dyDescent="0.3">
      <c r="T520" s="39">
        <v>59203</v>
      </c>
      <c r="U520" s="39">
        <f t="shared" si="8"/>
        <v>59230</v>
      </c>
      <c r="V520" s="40">
        <f>SUMIFS(Income_Tracker_Table[Amount Earned],Income_Tracker_Table[Date Received],"&gt;="&amp;T520,Income_Tracker_Table[Date Received],"&lt;="&amp;U520)</f>
        <v>0</v>
      </c>
    </row>
    <row r="521" spans="20:22" x14ac:dyDescent="0.3">
      <c r="T521" s="39">
        <v>59231</v>
      </c>
      <c r="U521" s="39">
        <f t="shared" ref="U521:U584" si="9">EOMONTH(T521,0)</f>
        <v>59261</v>
      </c>
      <c r="V521" s="40">
        <f>SUMIFS(Income_Tracker_Table[Amount Earned],Income_Tracker_Table[Date Received],"&gt;="&amp;T521,Income_Tracker_Table[Date Received],"&lt;="&amp;U521)</f>
        <v>0</v>
      </c>
    </row>
    <row r="522" spans="20:22" x14ac:dyDescent="0.3">
      <c r="T522" s="39">
        <v>59262</v>
      </c>
      <c r="U522" s="39">
        <f t="shared" si="9"/>
        <v>59291</v>
      </c>
      <c r="V522" s="40">
        <f>SUMIFS(Income_Tracker_Table[Amount Earned],Income_Tracker_Table[Date Received],"&gt;="&amp;T522,Income_Tracker_Table[Date Received],"&lt;="&amp;U522)</f>
        <v>0</v>
      </c>
    </row>
    <row r="523" spans="20:22" x14ac:dyDescent="0.3">
      <c r="T523" s="39">
        <v>59292</v>
      </c>
      <c r="U523" s="39">
        <f t="shared" si="9"/>
        <v>59322</v>
      </c>
      <c r="V523" s="40">
        <f>SUMIFS(Income_Tracker_Table[Amount Earned],Income_Tracker_Table[Date Received],"&gt;="&amp;T523,Income_Tracker_Table[Date Received],"&lt;="&amp;U523)</f>
        <v>0</v>
      </c>
    </row>
    <row r="524" spans="20:22" x14ac:dyDescent="0.3">
      <c r="T524" s="39">
        <v>59323</v>
      </c>
      <c r="U524" s="39">
        <f t="shared" si="9"/>
        <v>59352</v>
      </c>
      <c r="V524" s="40">
        <f>SUMIFS(Income_Tracker_Table[Amount Earned],Income_Tracker_Table[Date Received],"&gt;="&amp;T524,Income_Tracker_Table[Date Received],"&lt;="&amp;U524)</f>
        <v>0</v>
      </c>
    </row>
    <row r="525" spans="20:22" x14ac:dyDescent="0.3">
      <c r="T525" s="39">
        <v>59353</v>
      </c>
      <c r="U525" s="39">
        <f t="shared" si="9"/>
        <v>59383</v>
      </c>
      <c r="V525" s="40">
        <f>SUMIFS(Income_Tracker_Table[Amount Earned],Income_Tracker_Table[Date Received],"&gt;="&amp;T525,Income_Tracker_Table[Date Received],"&lt;="&amp;U525)</f>
        <v>0</v>
      </c>
    </row>
    <row r="526" spans="20:22" x14ac:dyDescent="0.3">
      <c r="T526" s="39">
        <v>59384</v>
      </c>
      <c r="U526" s="39">
        <f t="shared" si="9"/>
        <v>59414</v>
      </c>
      <c r="V526" s="40">
        <f>SUMIFS(Income_Tracker_Table[Amount Earned],Income_Tracker_Table[Date Received],"&gt;="&amp;T526,Income_Tracker_Table[Date Received],"&lt;="&amp;U526)</f>
        <v>0</v>
      </c>
    </row>
    <row r="527" spans="20:22" x14ac:dyDescent="0.3">
      <c r="T527" s="39">
        <v>59415</v>
      </c>
      <c r="U527" s="39">
        <f t="shared" si="9"/>
        <v>59444</v>
      </c>
      <c r="V527" s="40">
        <f>SUMIFS(Income_Tracker_Table[Amount Earned],Income_Tracker_Table[Date Received],"&gt;="&amp;T527,Income_Tracker_Table[Date Received],"&lt;="&amp;U527)</f>
        <v>0</v>
      </c>
    </row>
    <row r="528" spans="20:22" x14ac:dyDescent="0.3">
      <c r="T528" s="39">
        <v>59445</v>
      </c>
      <c r="U528" s="39">
        <f t="shared" si="9"/>
        <v>59475</v>
      </c>
      <c r="V528" s="40">
        <f>SUMIFS(Income_Tracker_Table[Amount Earned],Income_Tracker_Table[Date Received],"&gt;="&amp;T528,Income_Tracker_Table[Date Received],"&lt;="&amp;U528)</f>
        <v>0</v>
      </c>
    </row>
    <row r="529" spans="20:22" x14ac:dyDescent="0.3">
      <c r="T529" s="39">
        <v>59476</v>
      </c>
      <c r="U529" s="39">
        <f t="shared" si="9"/>
        <v>59505</v>
      </c>
      <c r="V529" s="40">
        <f>SUMIFS(Income_Tracker_Table[Amount Earned],Income_Tracker_Table[Date Received],"&gt;="&amp;T529,Income_Tracker_Table[Date Received],"&lt;="&amp;U529)</f>
        <v>0</v>
      </c>
    </row>
    <row r="530" spans="20:22" x14ac:dyDescent="0.3">
      <c r="T530" s="39">
        <v>59506</v>
      </c>
      <c r="U530" s="39">
        <f t="shared" si="9"/>
        <v>59536</v>
      </c>
      <c r="V530" s="40">
        <f>SUMIFS(Income_Tracker_Table[Amount Earned],Income_Tracker_Table[Date Received],"&gt;="&amp;T530,Income_Tracker_Table[Date Received],"&lt;="&amp;U530)</f>
        <v>0</v>
      </c>
    </row>
    <row r="531" spans="20:22" x14ac:dyDescent="0.3">
      <c r="T531" s="39">
        <v>59537</v>
      </c>
      <c r="U531" s="39">
        <f t="shared" si="9"/>
        <v>59567</v>
      </c>
      <c r="V531" s="40">
        <f>SUMIFS(Income_Tracker_Table[Amount Earned],Income_Tracker_Table[Date Received],"&gt;="&amp;T531,Income_Tracker_Table[Date Received],"&lt;="&amp;U531)</f>
        <v>0</v>
      </c>
    </row>
    <row r="532" spans="20:22" x14ac:dyDescent="0.3">
      <c r="T532" s="39">
        <v>59568</v>
      </c>
      <c r="U532" s="39">
        <f t="shared" si="9"/>
        <v>59595</v>
      </c>
      <c r="V532" s="40">
        <f>SUMIFS(Income_Tracker_Table[Amount Earned],Income_Tracker_Table[Date Received],"&gt;="&amp;T532,Income_Tracker_Table[Date Received],"&lt;="&amp;U532)</f>
        <v>0</v>
      </c>
    </row>
    <row r="533" spans="20:22" x14ac:dyDescent="0.3">
      <c r="T533" s="39">
        <v>59596</v>
      </c>
      <c r="U533" s="39">
        <f t="shared" si="9"/>
        <v>59626</v>
      </c>
      <c r="V533" s="40">
        <f>SUMIFS(Income_Tracker_Table[Amount Earned],Income_Tracker_Table[Date Received],"&gt;="&amp;T533,Income_Tracker_Table[Date Received],"&lt;="&amp;U533)</f>
        <v>0</v>
      </c>
    </row>
    <row r="534" spans="20:22" x14ac:dyDescent="0.3">
      <c r="T534" s="39">
        <v>59627</v>
      </c>
      <c r="U534" s="39">
        <f t="shared" si="9"/>
        <v>59656</v>
      </c>
      <c r="V534" s="40">
        <f>SUMIFS(Income_Tracker_Table[Amount Earned],Income_Tracker_Table[Date Received],"&gt;="&amp;T534,Income_Tracker_Table[Date Received],"&lt;="&amp;U534)</f>
        <v>0</v>
      </c>
    </row>
    <row r="535" spans="20:22" x14ac:dyDescent="0.3">
      <c r="T535" s="39">
        <v>59657</v>
      </c>
      <c r="U535" s="39">
        <f t="shared" si="9"/>
        <v>59687</v>
      </c>
      <c r="V535" s="40">
        <f>SUMIFS(Income_Tracker_Table[Amount Earned],Income_Tracker_Table[Date Received],"&gt;="&amp;T535,Income_Tracker_Table[Date Received],"&lt;="&amp;U535)</f>
        <v>0</v>
      </c>
    </row>
    <row r="536" spans="20:22" x14ac:dyDescent="0.3">
      <c r="T536" s="39">
        <v>59688</v>
      </c>
      <c r="U536" s="39">
        <f t="shared" si="9"/>
        <v>59717</v>
      </c>
      <c r="V536" s="40">
        <f>SUMIFS(Income_Tracker_Table[Amount Earned],Income_Tracker_Table[Date Received],"&gt;="&amp;T536,Income_Tracker_Table[Date Received],"&lt;="&amp;U536)</f>
        <v>0</v>
      </c>
    </row>
    <row r="537" spans="20:22" x14ac:dyDescent="0.3">
      <c r="T537" s="39">
        <v>59718</v>
      </c>
      <c r="U537" s="39">
        <f t="shared" si="9"/>
        <v>59748</v>
      </c>
      <c r="V537" s="40">
        <f>SUMIFS(Income_Tracker_Table[Amount Earned],Income_Tracker_Table[Date Received],"&gt;="&amp;T537,Income_Tracker_Table[Date Received],"&lt;="&amp;U537)</f>
        <v>0</v>
      </c>
    </row>
    <row r="538" spans="20:22" x14ac:dyDescent="0.3">
      <c r="T538" s="39">
        <v>59749</v>
      </c>
      <c r="U538" s="39">
        <f t="shared" si="9"/>
        <v>59779</v>
      </c>
      <c r="V538" s="40">
        <f>SUMIFS(Income_Tracker_Table[Amount Earned],Income_Tracker_Table[Date Received],"&gt;="&amp;T538,Income_Tracker_Table[Date Received],"&lt;="&amp;U538)</f>
        <v>0</v>
      </c>
    </row>
    <row r="539" spans="20:22" x14ac:dyDescent="0.3">
      <c r="T539" s="39">
        <v>59780</v>
      </c>
      <c r="U539" s="39">
        <f t="shared" si="9"/>
        <v>59809</v>
      </c>
      <c r="V539" s="40">
        <f>SUMIFS(Income_Tracker_Table[Amount Earned],Income_Tracker_Table[Date Received],"&gt;="&amp;T539,Income_Tracker_Table[Date Received],"&lt;="&amp;U539)</f>
        <v>0</v>
      </c>
    </row>
    <row r="540" spans="20:22" x14ac:dyDescent="0.3">
      <c r="T540" s="39">
        <v>59810</v>
      </c>
      <c r="U540" s="39">
        <f t="shared" si="9"/>
        <v>59840</v>
      </c>
      <c r="V540" s="40">
        <f>SUMIFS(Income_Tracker_Table[Amount Earned],Income_Tracker_Table[Date Received],"&gt;="&amp;T540,Income_Tracker_Table[Date Received],"&lt;="&amp;U540)</f>
        <v>0</v>
      </c>
    </row>
    <row r="541" spans="20:22" x14ac:dyDescent="0.3">
      <c r="T541" s="39">
        <v>59841</v>
      </c>
      <c r="U541" s="39">
        <f t="shared" si="9"/>
        <v>59870</v>
      </c>
      <c r="V541" s="40">
        <f>SUMIFS(Income_Tracker_Table[Amount Earned],Income_Tracker_Table[Date Received],"&gt;="&amp;T541,Income_Tracker_Table[Date Received],"&lt;="&amp;U541)</f>
        <v>0</v>
      </c>
    </row>
    <row r="542" spans="20:22" x14ac:dyDescent="0.3">
      <c r="T542" s="39">
        <v>59871</v>
      </c>
      <c r="U542" s="39">
        <f t="shared" si="9"/>
        <v>59901</v>
      </c>
      <c r="V542" s="40">
        <f>SUMIFS(Income_Tracker_Table[Amount Earned],Income_Tracker_Table[Date Received],"&gt;="&amp;T542,Income_Tracker_Table[Date Received],"&lt;="&amp;U542)</f>
        <v>0</v>
      </c>
    </row>
    <row r="543" spans="20:22" x14ac:dyDescent="0.3">
      <c r="T543" s="39">
        <v>59902</v>
      </c>
      <c r="U543" s="39">
        <f t="shared" si="9"/>
        <v>59932</v>
      </c>
      <c r="V543" s="40">
        <f>SUMIFS(Income_Tracker_Table[Amount Earned],Income_Tracker_Table[Date Received],"&gt;="&amp;T543,Income_Tracker_Table[Date Received],"&lt;="&amp;U543)</f>
        <v>0</v>
      </c>
    </row>
    <row r="544" spans="20:22" x14ac:dyDescent="0.3">
      <c r="T544" s="39">
        <v>59933</v>
      </c>
      <c r="U544" s="39">
        <f t="shared" si="9"/>
        <v>59961</v>
      </c>
      <c r="V544" s="40">
        <f>SUMIFS(Income_Tracker_Table[Amount Earned],Income_Tracker_Table[Date Received],"&gt;="&amp;T544,Income_Tracker_Table[Date Received],"&lt;="&amp;U544)</f>
        <v>0</v>
      </c>
    </row>
    <row r="545" spans="20:22" x14ac:dyDescent="0.3">
      <c r="T545" s="39">
        <v>59962</v>
      </c>
      <c r="U545" s="39">
        <f t="shared" si="9"/>
        <v>59992</v>
      </c>
      <c r="V545" s="40">
        <f>SUMIFS(Income_Tracker_Table[Amount Earned],Income_Tracker_Table[Date Received],"&gt;="&amp;T545,Income_Tracker_Table[Date Received],"&lt;="&amp;U545)</f>
        <v>0</v>
      </c>
    </row>
    <row r="546" spans="20:22" x14ac:dyDescent="0.3">
      <c r="T546" s="39">
        <v>59993</v>
      </c>
      <c r="U546" s="39">
        <f t="shared" si="9"/>
        <v>60022</v>
      </c>
      <c r="V546" s="40">
        <f>SUMIFS(Income_Tracker_Table[Amount Earned],Income_Tracker_Table[Date Received],"&gt;="&amp;T546,Income_Tracker_Table[Date Received],"&lt;="&amp;U546)</f>
        <v>0</v>
      </c>
    </row>
    <row r="547" spans="20:22" x14ac:dyDescent="0.3">
      <c r="T547" s="39">
        <v>60023</v>
      </c>
      <c r="U547" s="39">
        <f t="shared" si="9"/>
        <v>60053</v>
      </c>
      <c r="V547" s="40">
        <f>SUMIFS(Income_Tracker_Table[Amount Earned],Income_Tracker_Table[Date Received],"&gt;="&amp;T547,Income_Tracker_Table[Date Received],"&lt;="&amp;U547)</f>
        <v>0</v>
      </c>
    </row>
    <row r="548" spans="20:22" x14ac:dyDescent="0.3">
      <c r="T548" s="39">
        <v>60054</v>
      </c>
      <c r="U548" s="39">
        <f t="shared" si="9"/>
        <v>60083</v>
      </c>
      <c r="V548" s="40">
        <f>SUMIFS(Income_Tracker_Table[Amount Earned],Income_Tracker_Table[Date Received],"&gt;="&amp;T548,Income_Tracker_Table[Date Received],"&lt;="&amp;U548)</f>
        <v>0</v>
      </c>
    </row>
    <row r="549" spans="20:22" x14ac:dyDescent="0.3">
      <c r="T549" s="39">
        <v>60084</v>
      </c>
      <c r="U549" s="39">
        <f t="shared" si="9"/>
        <v>60114</v>
      </c>
      <c r="V549" s="40">
        <f>SUMIFS(Income_Tracker_Table[Amount Earned],Income_Tracker_Table[Date Received],"&gt;="&amp;T549,Income_Tracker_Table[Date Received],"&lt;="&amp;U549)</f>
        <v>0</v>
      </c>
    </row>
    <row r="550" spans="20:22" x14ac:dyDescent="0.3">
      <c r="T550" s="39">
        <v>60115</v>
      </c>
      <c r="U550" s="39">
        <f t="shared" si="9"/>
        <v>60145</v>
      </c>
      <c r="V550" s="40">
        <f>SUMIFS(Income_Tracker_Table[Amount Earned],Income_Tracker_Table[Date Received],"&gt;="&amp;T550,Income_Tracker_Table[Date Received],"&lt;="&amp;U550)</f>
        <v>0</v>
      </c>
    </row>
    <row r="551" spans="20:22" x14ac:dyDescent="0.3">
      <c r="T551" s="39">
        <v>60146</v>
      </c>
      <c r="U551" s="39">
        <f t="shared" si="9"/>
        <v>60175</v>
      </c>
      <c r="V551" s="40">
        <f>SUMIFS(Income_Tracker_Table[Amount Earned],Income_Tracker_Table[Date Received],"&gt;="&amp;T551,Income_Tracker_Table[Date Received],"&lt;="&amp;U551)</f>
        <v>0</v>
      </c>
    </row>
    <row r="552" spans="20:22" x14ac:dyDescent="0.3">
      <c r="T552" s="39">
        <v>60176</v>
      </c>
      <c r="U552" s="39">
        <f t="shared" si="9"/>
        <v>60206</v>
      </c>
      <c r="V552" s="40">
        <f>SUMIFS(Income_Tracker_Table[Amount Earned],Income_Tracker_Table[Date Received],"&gt;="&amp;T552,Income_Tracker_Table[Date Received],"&lt;="&amp;U552)</f>
        <v>0</v>
      </c>
    </row>
    <row r="553" spans="20:22" x14ac:dyDescent="0.3">
      <c r="T553" s="39">
        <v>60207</v>
      </c>
      <c r="U553" s="39">
        <f t="shared" si="9"/>
        <v>60236</v>
      </c>
      <c r="V553" s="40">
        <f>SUMIFS(Income_Tracker_Table[Amount Earned],Income_Tracker_Table[Date Received],"&gt;="&amp;T553,Income_Tracker_Table[Date Received],"&lt;="&amp;U553)</f>
        <v>0</v>
      </c>
    </row>
    <row r="554" spans="20:22" x14ac:dyDescent="0.3">
      <c r="T554" s="39">
        <v>60237</v>
      </c>
      <c r="U554" s="39">
        <f t="shared" si="9"/>
        <v>60267</v>
      </c>
      <c r="V554" s="40">
        <f>SUMIFS(Income_Tracker_Table[Amount Earned],Income_Tracker_Table[Date Received],"&gt;="&amp;T554,Income_Tracker_Table[Date Received],"&lt;="&amp;U554)</f>
        <v>0</v>
      </c>
    </row>
    <row r="555" spans="20:22" x14ac:dyDescent="0.3">
      <c r="T555" s="39">
        <v>60268</v>
      </c>
      <c r="U555" s="39">
        <f t="shared" si="9"/>
        <v>60298</v>
      </c>
      <c r="V555" s="40">
        <f>SUMIFS(Income_Tracker_Table[Amount Earned],Income_Tracker_Table[Date Received],"&gt;="&amp;T555,Income_Tracker_Table[Date Received],"&lt;="&amp;U555)</f>
        <v>0</v>
      </c>
    </row>
    <row r="556" spans="20:22" x14ac:dyDescent="0.3">
      <c r="T556" s="39">
        <v>60299</v>
      </c>
      <c r="U556" s="39">
        <f t="shared" si="9"/>
        <v>60326</v>
      </c>
      <c r="V556" s="40">
        <f>SUMIFS(Income_Tracker_Table[Amount Earned],Income_Tracker_Table[Date Received],"&gt;="&amp;T556,Income_Tracker_Table[Date Received],"&lt;="&amp;U556)</f>
        <v>0</v>
      </c>
    </row>
    <row r="557" spans="20:22" x14ac:dyDescent="0.3">
      <c r="T557" s="39">
        <v>60327</v>
      </c>
      <c r="U557" s="39">
        <f t="shared" si="9"/>
        <v>60357</v>
      </c>
      <c r="V557" s="40">
        <f>SUMIFS(Income_Tracker_Table[Amount Earned],Income_Tracker_Table[Date Received],"&gt;="&amp;T557,Income_Tracker_Table[Date Received],"&lt;="&amp;U557)</f>
        <v>0</v>
      </c>
    </row>
    <row r="558" spans="20:22" x14ac:dyDescent="0.3">
      <c r="T558" s="39">
        <v>60358</v>
      </c>
      <c r="U558" s="39">
        <f t="shared" si="9"/>
        <v>60387</v>
      </c>
      <c r="V558" s="40">
        <f>SUMIFS(Income_Tracker_Table[Amount Earned],Income_Tracker_Table[Date Received],"&gt;="&amp;T558,Income_Tracker_Table[Date Received],"&lt;="&amp;U558)</f>
        <v>0</v>
      </c>
    </row>
    <row r="559" spans="20:22" x14ac:dyDescent="0.3">
      <c r="T559" s="39">
        <v>60388</v>
      </c>
      <c r="U559" s="39">
        <f t="shared" si="9"/>
        <v>60418</v>
      </c>
      <c r="V559" s="40">
        <f>SUMIFS(Income_Tracker_Table[Amount Earned],Income_Tracker_Table[Date Received],"&gt;="&amp;T559,Income_Tracker_Table[Date Received],"&lt;="&amp;U559)</f>
        <v>0</v>
      </c>
    </row>
    <row r="560" spans="20:22" x14ac:dyDescent="0.3">
      <c r="T560" s="39">
        <v>60419</v>
      </c>
      <c r="U560" s="39">
        <f t="shared" si="9"/>
        <v>60448</v>
      </c>
      <c r="V560" s="40">
        <f>SUMIFS(Income_Tracker_Table[Amount Earned],Income_Tracker_Table[Date Received],"&gt;="&amp;T560,Income_Tracker_Table[Date Received],"&lt;="&amp;U560)</f>
        <v>0</v>
      </c>
    </row>
    <row r="561" spans="20:22" x14ac:dyDescent="0.3">
      <c r="T561" s="39">
        <v>60449</v>
      </c>
      <c r="U561" s="39">
        <f t="shared" si="9"/>
        <v>60479</v>
      </c>
      <c r="V561" s="40">
        <f>SUMIFS(Income_Tracker_Table[Amount Earned],Income_Tracker_Table[Date Received],"&gt;="&amp;T561,Income_Tracker_Table[Date Received],"&lt;="&amp;U561)</f>
        <v>0</v>
      </c>
    </row>
    <row r="562" spans="20:22" x14ac:dyDescent="0.3">
      <c r="T562" s="39">
        <v>60480</v>
      </c>
      <c r="U562" s="39">
        <f t="shared" si="9"/>
        <v>60510</v>
      </c>
      <c r="V562" s="40">
        <f>SUMIFS(Income_Tracker_Table[Amount Earned],Income_Tracker_Table[Date Received],"&gt;="&amp;T562,Income_Tracker_Table[Date Received],"&lt;="&amp;U562)</f>
        <v>0</v>
      </c>
    </row>
    <row r="563" spans="20:22" x14ac:dyDescent="0.3">
      <c r="T563" s="39">
        <v>60511</v>
      </c>
      <c r="U563" s="39">
        <f t="shared" si="9"/>
        <v>60540</v>
      </c>
      <c r="V563" s="40">
        <f>SUMIFS(Income_Tracker_Table[Amount Earned],Income_Tracker_Table[Date Received],"&gt;="&amp;T563,Income_Tracker_Table[Date Received],"&lt;="&amp;U563)</f>
        <v>0</v>
      </c>
    </row>
    <row r="564" spans="20:22" x14ac:dyDescent="0.3">
      <c r="T564" s="39">
        <v>60541</v>
      </c>
      <c r="U564" s="39">
        <f t="shared" si="9"/>
        <v>60571</v>
      </c>
      <c r="V564" s="40">
        <f>SUMIFS(Income_Tracker_Table[Amount Earned],Income_Tracker_Table[Date Received],"&gt;="&amp;T564,Income_Tracker_Table[Date Received],"&lt;="&amp;U564)</f>
        <v>0</v>
      </c>
    </row>
    <row r="565" spans="20:22" x14ac:dyDescent="0.3">
      <c r="T565" s="39">
        <v>60572</v>
      </c>
      <c r="U565" s="39">
        <f t="shared" si="9"/>
        <v>60601</v>
      </c>
      <c r="V565" s="40">
        <f>SUMIFS(Income_Tracker_Table[Amount Earned],Income_Tracker_Table[Date Received],"&gt;="&amp;T565,Income_Tracker_Table[Date Received],"&lt;="&amp;U565)</f>
        <v>0</v>
      </c>
    </row>
    <row r="566" spans="20:22" x14ac:dyDescent="0.3">
      <c r="T566" s="39">
        <v>60602</v>
      </c>
      <c r="U566" s="39">
        <f t="shared" si="9"/>
        <v>60632</v>
      </c>
      <c r="V566" s="40">
        <f>SUMIFS(Income_Tracker_Table[Amount Earned],Income_Tracker_Table[Date Received],"&gt;="&amp;T566,Income_Tracker_Table[Date Received],"&lt;="&amp;U566)</f>
        <v>0</v>
      </c>
    </row>
    <row r="567" spans="20:22" x14ac:dyDescent="0.3">
      <c r="T567" s="39">
        <v>60633</v>
      </c>
      <c r="U567" s="39">
        <f t="shared" si="9"/>
        <v>60663</v>
      </c>
      <c r="V567" s="40">
        <f>SUMIFS(Income_Tracker_Table[Amount Earned],Income_Tracker_Table[Date Received],"&gt;="&amp;T567,Income_Tracker_Table[Date Received],"&lt;="&amp;U567)</f>
        <v>0</v>
      </c>
    </row>
    <row r="568" spans="20:22" x14ac:dyDescent="0.3">
      <c r="T568" s="39">
        <v>60664</v>
      </c>
      <c r="U568" s="39">
        <f t="shared" si="9"/>
        <v>60691</v>
      </c>
      <c r="V568" s="40">
        <f>SUMIFS(Income_Tracker_Table[Amount Earned],Income_Tracker_Table[Date Received],"&gt;="&amp;T568,Income_Tracker_Table[Date Received],"&lt;="&amp;U568)</f>
        <v>0</v>
      </c>
    </row>
    <row r="569" spans="20:22" x14ac:dyDescent="0.3">
      <c r="T569" s="39">
        <v>60692</v>
      </c>
      <c r="U569" s="39">
        <f t="shared" si="9"/>
        <v>60722</v>
      </c>
      <c r="V569" s="40">
        <f>SUMIFS(Income_Tracker_Table[Amount Earned],Income_Tracker_Table[Date Received],"&gt;="&amp;T569,Income_Tracker_Table[Date Received],"&lt;="&amp;U569)</f>
        <v>0</v>
      </c>
    </row>
    <row r="570" spans="20:22" x14ac:dyDescent="0.3">
      <c r="T570" s="39">
        <v>60723</v>
      </c>
      <c r="U570" s="39">
        <f t="shared" si="9"/>
        <v>60752</v>
      </c>
      <c r="V570" s="40">
        <f>SUMIFS(Income_Tracker_Table[Amount Earned],Income_Tracker_Table[Date Received],"&gt;="&amp;T570,Income_Tracker_Table[Date Received],"&lt;="&amp;U570)</f>
        <v>0</v>
      </c>
    </row>
    <row r="571" spans="20:22" x14ac:dyDescent="0.3">
      <c r="T571" s="39">
        <v>60753</v>
      </c>
      <c r="U571" s="39">
        <f t="shared" si="9"/>
        <v>60783</v>
      </c>
      <c r="V571" s="40">
        <f>SUMIFS(Income_Tracker_Table[Amount Earned],Income_Tracker_Table[Date Received],"&gt;="&amp;T571,Income_Tracker_Table[Date Received],"&lt;="&amp;U571)</f>
        <v>0</v>
      </c>
    </row>
    <row r="572" spans="20:22" x14ac:dyDescent="0.3">
      <c r="T572" s="39">
        <v>60784</v>
      </c>
      <c r="U572" s="39">
        <f t="shared" si="9"/>
        <v>60813</v>
      </c>
      <c r="V572" s="40">
        <f>SUMIFS(Income_Tracker_Table[Amount Earned],Income_Tracker_Table[Date Received],"&gt;="&amp;T572,Income_Tracker_Table[Date Received],"&lt;="&amp;U572)</f>
        <v>0</v>
      </c>
    </row>
    <row r="573" spans="20:22" x14ac:dyDescent="0.3">
      <c r="T573" s="39">
        <v>60814</v>
      </c>
      <c r="U573" s="39">
        <f t="shared" si="9"/>
        <v>60844</v>
      </c>
      <c r="V573" s="40">
        <f>SUMIFS(Income_Tracker_Table[Amount Earned],Income_Tracker_Table[Date Received],"&gt;="&amp;T573,Income_Tracker_Table[Date Received],"&lt;="&amp;U573)</f>
        <v>0</v>
      </c>
    </row>
    <row r="574" spans="20:22" x14ac:dyDescent="0.3">
      <c r="T574" s="39">
        <v>60845</v>
      </c>
      <c r="U574" s="39">
        <f t="shared" si="9"/>
        <v>60875</v>
      </c>
      <c r="V574" s="40">
        <f>SUMIFS(Income_Tracker_Table[Amount Earned],Income_Tracker_Table[Date Received],"&gt;="&amp;T574,Income_Tracker_Table[Date Received],"&lt;="&amp;U574)</f>
        <v>0</v>
      </c>
    </row>
    <row r="575" spans="20:22" x14ac:dyDescent="0.3">
      <c r="T575" s="39">
        <v>60876</v>
      </c>
      <c r="U575" s="39">
        <f t="shared" si="9"/>
        <v>60905</v>
      </c>
      <c r="V575" s="40">
        <f>SUMIFS(Income_Tracker_Table[Amount Earned],Income_Tracker_Table[Date Received],"&gt;="&amp;T575,Income_Tracker_Table[Date Received],"&lt;="&amp;U575)</f>
        <v>0</v>
      </c>
    </row>
    <row r="576" spans="20:22" x14ac:dyDescent="0.3">
      <c r="T576" s="39">
        <v>60906</v>
      </c>
      <c r="U576" s="39">
        <f t="shared" si="9"/>
        <v>60936</v>
      </c>
      <c r="V576" s="40">
        <f>SUMIFS(Income_Tracker_Table[Amount Earned],Income_Tracker_Table[Date Received],"&gt;="&amp;T576,Income_Tracker_Table[Date Received],"&lt;="&amp;U576)</f>
        <v>0</v>
      </c>
    </row>
    <row r="577" spans="20:22" x14ac:dyDescent="0.3">
      <c r="T577" s="39">
        <v>60937</v>
      </c>
      <c r="U577" s="39">
        <f t="shared" si="9"/>
        <v>60966</v>
      </c>
      <c r="V577" s="40">
        <f>SUMIFS(Income_Tracker_Table[Amount Earned],Income_Tracker_Table[Date Received],"&gt;="&amp;T577,Income_Tracker_Table[Date Received],"&lt;="&amp;U577)</f>
        <v>0</v>
      </c>
    </row>
    <row r="578" spans="20:22" x14ac:dyDescent="0.3">
      <c r="T578" s="39">
        <v>60967</v>
      </c>
      <c r="U578" s="39">
        <f t="shared" si="9"/>
        <v>60997</v>
      </c>
      <c r="V578" s="40">
        <f>SUMIFS(Income_Tracker_Table[Amount Earned],Income_Tracker_Table[Date Received],"&gt;="&amp;T578,Income_Tracker_Table[Date Received],"&lt;="&amp;U578)</f>
        <v>0</v>
      </c>
    </row>
    <row r="579" spans="20:22" x14ac:dyDescent="0.3">
      <c r="T579" s="39">
        <v>60998</v>
      </c>
      <c r="U579" s="39">
        <f t="shared" si="9"/>
        <v>61028</v>
      </c>
      <c r="V579" s="40">
        <f>SUMIFS(Income_Tracker_Table[Amount Earned],Income_Tracker_Table[Date Received],"&gt;="&amp;T579,Income_Tracker_Table[Date Received],"&lt;="&amp;U579)</f>
        <v>0</v>
      </c>
    </row>
    <row r="580" spans="20:22" x14ac:dyDescent="0.3">
      <c r="T580" s="39">
        <v>61029</v>
      </c>
      <c r="U580" s="39">
        <f t="shared" si="9"/>
        <v>61056</v>
      </c>
      <c r="V580" s="40">
        <f>SUMIFS(Income_Tracker_Table[Amount Earned],Income_Tracker_Table[Date Received],"&gt;="&amp;T580,Income_Tracker_Table[Date Received],"&lt;="&amp;U580)</f>
        <v>0</v>
      </c>
    </row>
    <row r="581" spans="20:22" x14ac:dyDescent="0.3">
      <c r="T581" s="39">
        <v>61057</v>
      </c>
      <c r="U581" s="39">
        <f t="shared" si="9"/>
        <v>61087</v>
      </c>
      <c r="V581" s="40">
        <f>SUMIFS(Income_Tracker_Table[Amount Earned],Income_Tracker_Table[Date Received],"&gt;="&amp;T581,Income_Tracker_Table[Date Received],"&lt;="&amp;U581)</f>
        <v>0</v>
      </c>
    </row>
    <row r="582" spans="20:22" x14ac:dyDescent="0.3">
      <c r="T582" s="39">
        <v>61088</v>
      </c>
      <c r="U582" s="39">
        <f t="shared" si="9"/>
        <v>61117</v>
      </c>
      <c r="V582" s="40">
        <f>SUMIFS(Income_Tracker_Table[Amount Earned],Income_Tracker_Table[Date Received],"&gt;="&amp;T582,Income_Tracker_Table[Date Received],"&lt;="&amp;U582)</f>
        <v>0</v>
      </c>
    </row>
    <row r="583" spans="20:22" x14ac:dyDescent="0.3">
      <c r="T583" s="39">
        <v>61118</v>
      </c>
      <c r="U583" s="39">
        <f t="shared" si="9"/>
        <v>61148</v>
      </c>
      <c r="V583" s="40">
        <f>SUMIFS(Income_Tracker_Table[Amount Earned],Income_Tracker_Table[Date Received],"&gt;="&amp;T583,Income_Tracker_Table[Date Received],"&lt;="&amp;U583)</f>
        <v>0</v>
      </c>
    </row>
    <row r="584" spans="20:22" x14ac:dyDescent="0.3">
      <c r="T584" s="39">
        <v>61149</v>
      </c>
      <c r="U584" s="39">
        <f t="shared" si="9"/>
        <v>61178</v>
      </c>
      <c r="V584" s="40">
        <f>SUMIFS(Income_Tracker_Table[Amount Earned],Income_Tracker_Table[Date Received],"&gt;="&amp;T584,Income_Tracker_Table[Date Received],"&lt;="&amp;U584)</f>
        <v>0</v>
      </c>
    </row>
    <row r="585" spans="20:22" x14ac:dyDescent="0.3">
      <c r="T585" s="39">
        <v>61179</v>
      </c>
      <c r="U585" s="39">
        <f t="shared" ref="U585:U648" si="10">EOMONTH(T585,0)</f>
        <v>61209</v>
      </c>
      <c r="V585" s="40">
        <f>SUMIFS(Income_Tracker_Table[Amount Earned],Income_Tracker_Table[Date Received],"&gt;="&amp;T585,Income_Tracker_Table[Date Received],"&lt;="&amp;U585)</f>
        <v>0</v>
      </c>
    </row>
    <row r="586" spans="20:22" x14ac:dyDescent="0.3">
      <c r="T586" s="39">
        <v>61210</v>
      </c>
      <c r="U586" s="39">
        <f t="shared" si="10"/>
        <v>61240</v>
      </c>
      <c r="V586" s="40">
        <f>SUMIFS(Income_Tracker_Table[Amount Earned],Income_Tracker_Table[Date Received],"&gt;="&amp;T586,Income_Tracker_Table[Date Received],"&lt;="&amp;U586)</f>
        <v>0</v>
      </c>
    </row>
    <row r="587" spans="20:22" x14ac:dyDescent="0.3">
      <c r="T587" s="39">
        <v>61241</v>
      </c>
      <c r="U587" s="39">
        <f t="shared" si="10"/>
        <v>61270</v>
      </c>
      <c r="V587" s="40">
        <f>SUMIFS(Income_Tracker_Table[Amount Earned],Income_Tracker_Table[Date Received],"&gt;="&amp;T587,Income_Tracker_Table[Date Received],"&lt;="&amp;U587)</f>
        <v>0</v>
      </c>
    </row>
    <row r="588" spans="20:22" x14ac:dyDescent="0.3">
      <c r="T588" s="39">
        <v>61271</v>
      </c>
      <c r="U588" s="39">
        <f t="shared" si="10"/>
        <v>61301</v>
      </c>
      <c r="V588" s="40">
        <f>SUMIFS(Income_Tracker_Table[Amount Earned],Income_Tracker_Table[Date Received],"&gt;="&amp;T588,Income_Tracker_Table[Date Received],"&lt;="&amp;U588)</f>
        <v>0</v>
      </c>
    </row>
    <row r="589" spans="20:22" x14ac:dyDescent="0.3">
      <c r="T589" s="39">
        <v>61302</v>
      </c>
      <c r="U589" s="39">
        <f t="shared" si="10"/>
        <v>61331</v>
      </c>
      <c r="V589" s="40">
        <f>SUMIFS(Income_Tracker_Table[Amount Earned],Income_Tracker_Table[Date Received],"&gt;="&amp;T589,Income_Tracker_Table[Date Received],"&lt;="&amp;U589)</f>
        <v>0</v>
      </c>
    </row>
    <row r="590" spans="20:22" x14ac:dyDescent="0.3">
      <c r="T590" s="39">
        <v>61332</v>
      </c>
      <c r="U590" s="39">
        <f t="shared" si="10"/>
        <v>61362</v>
      </c>
      <c r="V590" s="40">
        <f>SUMIFS(Income_Tracker_Table[Amount Earned],Income_Tracker_Table[Date Received],"&gt;="&amp;T590,Income_Tracker_Table[Date Received],"&lt;="&amp;U590)</f>
        <v>0</v>
      </c>
    </row>
    <row r="591" spans="20:22" x14ac:dyDescent="0.3">
      <c r="T591" s="39">
        <v>61363</v>
      </c>
      <c r="U591" s="39">
        <f t="shared" si="10"/>
        <v>61393</v>
      </c>
      <c r="V591" s="40">
        <f>SUMIFS(Income_Tracker_Table[Amount Earned],Income_Tracker_Table[Date Received],"&gt;="&amp;T591,Income_Tracker_Table[Date Received],"&lt;="&amp;U591)</f>
        <v>0</v>
      </c>
    </row>
    <row r="592" spans="20:22" x14ac:dyDescent="0.3">
      <c r="T592" s="39">
        <v>61394</v>
      </c>
      <c r="U592" s="39">
        <f t="shared" si="10"/>
        <v>61422</v>
      </c>
      <c r="V592" s="40">
        <f>SUMIFS(Income_Tracker_Table[Amount Earned],Income_Tracker_Table[Date Received],"&gt;="&amp;T592,Income_Tracker_Table[Date Received],"&lt;="&amp;U592)</f>
        <v>0</v>
      </c>
    </row>
    <row r="593" spans="20:22" x14ac:dyDescent="0.3">
      <c r="T593" s="39">
        <v>61423</v>
      </c>
      <c r="U593" s="39">
        <f t="shared" si="10"/>
        <v>61453</v>
      </c>
      <c r="V593" s="40">
        <f>SUMIFS(Income_Tracker_Table[Amount Earned],Income_Tracker_Table[Date Received],"&gt;="&amp;T593,Income_Tracker_Table[Date Received],"&lt;="&amp;U593)</f>
        <v>0</v>
      </c>
    </row>
    <row r="594" spans="20:22" x14ac:dyDescent="0.3">
      <c r="T594" s="39">
        <v>61454</v>
      </c>
      <c r="U594" s="39">
        <f t="shared" si="10"/>
        <v>61483</v>
      </c>
      <c r="V594" s="40">
        <f>SUMIFS(Income_Tracker_Table[Amount Earned],Income_Tracker_Table[Date Received],"&gt;="&amp;T594,Income_Tracker_Table[Date Received],"&lt;="&amp;U594)</f>
        <v>0</v>
      </c>
    </row>
    <row r="595" spans="20:22" x14ac:dyDescent="0.3">
      <c r="T595" s="39">
        <v>61484</v>
      </c>
      <c r="U595" s="39">
        <f t="shared" si="10"/>
        <v>61514</v>
      </c>
      <c r="V595" s="40">
        <f>SUMIFS(Income_Tracker_Table[Amount Earned],Income_Tracker_Table[Date Received],"&gt;="&amp;T595,Income_Tracker_Table[Date Received],"&lt;="&amp;U595)</f>
        <v>0</v>
      </c>
    </row>
    <row r="596" spans="20:22" x14ac:dyDescent="0.3">
      <c r="T596" s="39">
        <v>61515</v>
      </c>
      <c r="U596" s="39">
        <f t="shared" si="10"/>
        <v>61544</v>
      </c>
      <c r="V596" s="40">
        <f>SUMIFS(Income_Tracker_Table[Amount Earned],Income_Tracker_Table[Date Received],"&gt;="&amp;T596,Income_Tracker_Table[Date Received],"&lt;="&amp;U596)</f>
        <v>0</v>
      </c>
    </row>
    <row r="597" spans="20:22" x14ac:dyDescent="0.3">
      <c r="T597" s="39">
        <v>61545</v>
      </c>
      <c r="U597" s="39">
        <f t="shared" si="10"/>
        <v>61575</v>
      </c>
      <c r="V597" s="40">
        <f>SUMIFS(Income_Tracker_Table[Amount Earned],Income_Tracker_Table[Date Received],"&gt;="&amp;T597,Income_Tracker_Table[Date Received],"&lt;="&amp;U597)</f>
        <v>0</v>
      </c>
    </row>
    <row r="598" spans="20:22" x14ac:dyDescent="0.3">
      <c r="T598" s="39">
        <v>61576</v>
      </c>
      <c r="U598" s="39">
        <f t="shared" si="10"/>
        <v>61606</v>
      </c>
      <c r="V598" s="40">
        <f>SUMIFS(Income_Tracker_Table[Amount Earned],Income_Tracker_Table[Date Received],"&gt;="&amp;T598,Income_Tracker_Table[Date Received],"&lt;="&amp;U598)</f>
        <v>0</v>
      </c>
    </row>
    <row r="599" spans="20:22" x14ac:dyDescent="0.3">
      <c r="T599" s="39">
        <v>61607</v>
      </c>
      <c r="U599" s="39">
        <f t="shared" si="10"/>
        <v>61636</v>
      </c>
      <c r="V599" s="40">
        <f>SUMIFS(Income_Tracker_Table[Amount Earned],Income_Tracker_Table[Date Received],"&gt;="&amp;T599,Income_Tracker_Table[Date Received],"&lt;="&amp;U599)</f>
        <v>0</v>
      </c>
    </row>
    <row r="600" spans="20:22" x14ac:dyDescent="0.3">
      <c r="T600" s="39">
        <v>61637</v>
      </c>
      <c r="U600" s="39">
        <f t="shared" si="10"/>
        <v>61667</v>
      </c>
      <c r="V600" s="40">
        <f>SUMIFS(Income_Tracker_Table[Amount Earned],Income_Tracker_Table[Date Received],"&gt;="&amp;T600,Income_Tracker_Table[Date Received],"&lt;="&amp;U600)</f>
        <v>0</v>
      </c>
    </row>
    <row r="601" spans="20:22" x14ac:dyDescent="0.3">
      <c r="T601" s="39">
        <v>61668</v>
      </c>
      <c r="U601" s="39">
        <f t="shared" si="10"/>
        <v>61697</v>
      </c>
      <c r="V601" s="40">
        <f>SUMIFS(Income_Tracker_Table[Amount Earned],Income_Tracker_Table[Date Received],"&gt;="&amp;T601,Income_Tracker_Table[Date Received],"&lt;="&amp;U601)</f>
        <v>0</v>
      </c>
    </row>
    <row r="602" spans="20:22" x14ac:dyDescent="0.3">
      <c r="T602" s="39">
        <v>61698</v>
      </c>
      <c r="U602" s="39">
        <f t="shared" si="10"/>
        <v>61728</v>
      </c>
      <c r="V602" s="40">
        <f>SUMIFS(Income_Tracker_Table[Amount Earned],Income_Tracker_Table[Date Received],"&gt;="&amp;T602,Income_Tracker_Table[Date Received],"&lt;="&amp;U602)</f>
        <v>0</v>
      </c>
    </row>
    <row r="603" spans="20:22" x14ac:dyDescent="0.3">
      <c r="T603" s="39">
        <v>61729</v>
      </c>
      <c r="U603" s="39">
        <f t="shared" si="10"/>
        <v>61759</v>
      </c>
      <c r="V603" s="40">
        <f>SUMIFS(Income_Tracker_Table[Amount Earned],Income_Tracker_Table[Date Received],"&gt;="&amp;T603,Income_Tracker_Table[Date Received],"&lt;="&amp;U603)</f>
        <v>0</v>
      </c>
    </row>
    <row r="604" spans="20:22" x14ac:dyDescent="0.3">
      <c r="T604" s="39">
        <v>61760</v>
      </c>
      <c r="U604" s="39">
        <f t="shared" si="10"/>
        <v>61787</v>
      </c>
      <c r="V604" s="40">
        <f>SUMIFS(Income_Tracker_Table[Amount Earned],Income_Tracker_Table[Date Received],"&gt;="&amp;T604,Income_Tracker_Table[Date Received],"&lt;="&amp;U604)</f>
        <v>0</v>
      </c>
    </row>
    <row r="605" spans="20:22" x14ac:dyDescent="0.3">
      <c r="T605" s="39">
        <v>61788</v>
      </c>
      <c r="U605" s="39">
        <f t="shared" si="10"/>
        <v>61818</v>
      </c>
      <c r="V605" s="40">
        <f>SUMIFS(Income_Tracker_Table[Amount Earned],Income_Tracker_Table[Date Received],"&gt;="&amp;T605,Income_Tracker_Table[Date Received],"&lt;="&amp;U605)</f>
        <v>0</v>
      </c>
    </row>
    <row r="606" spans="20:22" x14ac:dyDescent="0.3">
      <c r="T606" s="39">
        <v>61819</v>
      </c>
      <c r="U606" s="39">
        <f t="shared" si="10"/>
        <v>61848</v>
      </c>
      <c r="V606" s="40">
        <f>SUMIFS(Income_Tracker_Table[Amount Earned],Income_Tracker_Table[Date Received],"&gt;="&amp;T606,Income_Tracker_Table[Date Received],"&lt;="&amp;U606)</f>
        <v>0</v>
      </c>
    </row>
    <row r="607" spans="20:22" x14ac:dyDescent="0.3">
      <c r="T607" s="39">
        <v>61849</v>
      </c>
      <c r="U607" s="39">
        <f t="shared" si="10"/>
        <v>61879</v>
      </c>
      <c r="V607" s="40">
        <f>SUMIFS(Income_Tracker_Table[Amount Earned],Income_Tracker_Table[Date Received],"&gt;="&amp;T607,Income_Tracker_Table[Date Received],"&lt;="&amp;U607)</f>
        <v>0</v>
      </c>
    </row>
    <row r="608" spans="20:22" x14ac:dyDescent="0.3">
      <c r="T608" s="39">
        <v>61880</v>
      </c>
      <c r="U608" s="39">
        <f t="shared" si="10"/>
        <v>61909</v>
      </c>
      <c r="V608" s="40">
        <f>SUMIFS(Income_Tracker_Table[Amount Earned],Income_Tracker_Table[Date Received],"&gt;="&amp;T608,Income_Tracker_Table[Date Received],"&lt;="&amp;U608)</f>
        <v>0</v>
      </c>
    </row>
    <row r="609" spans="20:22" x14ac:dyDescent="0.3">
      <c r="T609" s="39">
        <v>61910</v>
      </c>
      <c r="U609" s="39">
        <f t="shared" si="10"/>
        <v>61940</v>
      </c>
      <c r="V609" s="40">
        <f>SUMIFS(Income_Tracker_Table[Amount Earned],Income_Tracker_Table[Date Received],"&gt;="&amp;T609,Income_Tracker_Table[Date Received],"&lt;="&amp;U609)</f>
        <v>0</v>
      </c>
    </row>
    <row r="610" spans="20:22" x14ac:dyDescent="0.3">
      <c r="T610" s="39">
        <v>61941</v>
      </c>
      <c r="U610" s="39">
        <f t="shared" si="10"/>
        <v>61971</v>
      </c>
      <c r="V610" s="40">
        <f>SUMIFS(Income_Tracker_Table[Amount Earned],Income_Tracker_Table[Date Received],"&gt;="&amp;T610,Income_Tracker_Table[Date Received],"&lt;="&amp;U610)</f>
        <v>0</v>
      </c>
    </row>
    <row r="611" spans="20:22" x14ac:dyDescent="0.3">
      <c r="T611" s="39">
        <v>61972</v>
      </c>
      <c r="U611" s="39">
        <f t="shared" si="10"/>
        <v>62001</v>
      </c>
      <c r="V611" s="40">
        <f>SUMIFS(Income_Tracker_Table[Amount Earned],Income_Tracker_Table[Date Received],"&gt;="&amp;T611,Income_Tracker_Table[Date Received],"&lt;="&amp;U611)</f>
        <v>0</v>
      </c>
    </row>
    <row r="612" spans="20:22" x14ac:dyDescent="0.3">
      <c r="T612" s="39">
        <v>62002</v>
      </c>
      <c r="U612" s="39">
        <f t="shared" si="10"/>
        <v>62032</v>
      </c>
      <c r="V612" s="40">
        <f>SUMIFS(Income_Tracker_Table[Amount Earned],Income_Tracker_Table[Date Received],"&gt;="&amp;T612,Income_Tracker_Table[Date Received],"&lt;="&amp;U612)</f>
        <v>0</v>
      </c>
    </row>
    <row r="613" spans="20:22" x14ac:dyDescent="0.3">
      <c r="T613" s="39">
        <v>62033</v>
      </c>
      <c r="U613" s="39">
        <f t="shared" si="10"/>
        <v>62062</v>
      </c>
      <c r="V613" s="40">
        <f>SUMIFS(Income_Tracker_Table[Amount Earned],Income_Tracker_Table[Date Received],"&gt;="&amp;T613,Income_Tracker_Table[Date Received],"&lt;="&amp;U613)</f>
        <v>0</v>
      </c>
    </row>
    <row r="614" spans="20:22" x14ac:dyDescent="0.3">
      <c r="T614" s="39">
        <v>62063</v>
      </c>
      <c r="U614" s="39">
        <f t="shared" si="10"/>
        <v>62093</v>
      </c>
      <c r="V614" s="40">
        <f>SUMIFS(Income_Tracker_Table[Amount Earned],Income_Tracker_Table[Date Received],"&gt;="&amp;T614,Income_Tracker_Table[Date Received],"&lt;="&amp;U614)</f>
        <v>0</v>
      </c>
    </row>
    <row r="615" spans="20:22" x14ac:dyDescent="0.3">
      <c r="T615" s="39">
        <v>62094</v>
      </c>
      <c r="U615" s="39">
        <f t="shared" si="10"/>
        <v>62124</v>
      </c>
      <c r="V615" s="40">
        <f>SUMIFS(Income_Tracker_Table[Amount Earned],Income_Tracker_Table[Date Received],"&gt;="&amp;T615,Income_Tracker_Table[Date Received],"&lt;="&amp;U615)</f>
        <v>0</v>
      </c>
    </row>
    <row r="616" spans="20:22" x14ac:dyDescent="0.3">
      <c r="T616" s="39">
        <v>62125</v>
      </c>
      <c r="U616" s="39">
        <f t="shared" si="10"/>
        <v>62152</v>
      </c>
      <c r="V616" s="40">
        <f>SUMIFS(Income_Tracker_Table[Amount Earned],Income_Tracker_Table[Date Received],"&gt;="&amp;T616,Income_Tracker_Table[Date Received],"&lt;="&amp;U616)</f>
        <v>0</v>
      </c>
    </row>
    <row r="617" spans="20:22" x14ac:dyDescent="0.3">
      <c r="T617" s="39">
        <v>62153</v>
      </c>
      <c r="U617" s="39">
        <f t="shared" si="10"/>
        <v>62183</v>
      </c>
      <c r="V617" s="40">
        <f>SUMIFS(Income_Tracker_Table[Amount Earned],Income_Tracker_Table[Date Received],"&gt;="&amp;T617,Income_Tracker_Table[Date Received],"&lt;="&amp;U617)</f>
        <v>0</v>
      </c>
    </row>
    <row r="618" spans="20:22" x14ac:dyDescent="0.3">
      <c r="T618" s="39">
        <v>62184</v>
      </c>
      <c r="U618" s="39">
        <f t="shared" si="10"/>
        <v>62213</v>
      </c>
      <c r="V618" s="40">
        <f>SUMIFS(Income_Tracker_Table[Amount Earned],Income_Tracker_Table[Date Received],"&gt;="&amp;T618,Income_Tracker_Table[Date Received],"&lt;="&amp;U618)</f>
        <v>0</v>
      </c>
    </row>
    <row r="619" spans="20:22" x14ac:dyDescent="0.3">
      <c r="T619" s="39">
        <v>62214</v>
      </c>
      <c r="U619" s="39">
        <f t="shared" si="10"/>
        <v>62244</v>
      </c>
      <c r="V619" s="40">
        <f>SUMIFS(Income_Tracker_Table[Amount Earned],Income_Tracker_Table[Date Received],"&gt;="&amp;T619,Income_Tracker_Table[Date Received],"&lt;="&amp;U619)</f>
        <v>0</v>
      </c>
    </row>
    <row r="620" spans="20:22" x14ac:dyDescent="0.3">
      <c r="T620" s="39">
        <v>62245</v>
      </c>
      <c r="U620" s="39">
        <f t="shared" si="10"/>
        <v>62274</v>
      </c>
      <c r="V620" s="40">
        <f>SUMIFS(Income_Tracker_Table[Amount Earned],Income_Tracker_Table[Date Received],"&gt;="&amp;T620,Income_Tracker_Table[Date Received],"&lt;="&amp;U620)</f>
        <v>0</v>
      </c>
    </row>
    <row r="621" spans="20:22" x14ac:dyDescent="0.3">
      <c r="T621" s="39">
        <v>62275</v>
      </c>
      <c r="U621" s="39">
        <f t="shared" si="10"/>
        <v>62305</v>
      </c>
      <c r="V621" s="40">
        <f>SUMIFS(Income_Tracker_Table[Amount Earned],Income_Tracker_Table[Date Received],"&gt;="&amp;T621,Income_Tracker_Table[Date Received],"&lt;="&amp;U621)</f>
        <v>0</v>
      </c>
    </row>
    <row r="622" spans="20:22" x14ac:dyDescent="0.3">
      <c r="T622" s="39">
        <v>62306</v>
      </c>
      <c r="U622" s="39">
        <f t="shared" si="10"/>
        <v>62336</v>
      </c>
      <c r="V622" s="40">
        <f>SUMIFS(Income_Tracker_Table[Amount Earned],Income_Tracker_Table[Date Received],"&gt;="&amp;T622,Income_Tracker_Table[Date Received],"&lt;="&amp;U622)</f>
        <v>0</v>
      </c>
    </row>
    <row r="623" spans="20:22" x14ac:dyDescent="0.3">
      <c r="T623" s="39">
        <v>62337</v>
      </c>
      <c r="U623" s="39">
        <f t="shared" si="10"/>
        <v>62366</v>
      </c>
      <c r="V623" s="40">
        <f>SUMIFS(Income_Tracker_Table[Amount Earned],Income_Tracker_Table[Date Received],"&gt;="&amp;T623,Income_Tracker_Table[Date Received],"&lt;="&amp;U623)</f>
        <v>0</v>
      </c>
    </row>
    <row r="624" spans="20:22" x14ac:dyDescent="0.3">
      <c r="T624" s="39">
        <v>62367</v>
      </c>
      <c r="U624" s="39">
        <f t="shared" si="10"/>
        <v>62397</v>
      </c>
      <c r="V624" s="40">
        <f>SUMIFS(Income_Tracker_Table[Amount Earned],Income_Tracker_Table[Date Received],"&gt;="&amp;T624,Income_Tracker_Table[Date Received],"&lt;="&amp;U624)</f>
        <v>0</v>
      </c>
    </row>
    <row r="625" spans="20:22" x14ac:dyDescent="0.3">
      <c r="T625" s="39">
        <v>62398</v>
      </c>
      <c r="U625" s="39">
        <f t="shared" si="10"/>
        <v>62427</v>
      </c>
      <c r="V625" s="40">
        <f>SUMIFS(Income_Tracker_Table[Amount Earned],Income_Tracker_Table[Date Received],"&gt;="&amp;T625,Income_Tracker_Table[Date Received],"&lt;="&amp;U625)</f>
        <v>0</v>
      </c>
    </row>
    <row r="626" spans="20:22" x14ac:dyDescent="0.3">
      <c r="T626" s="39">
        <v>62428</v>
      </c>
      <c r="U626" s="39">
        <f t="shared" si="10"/>
        <v>62458</v>
      </c>
      <c r="V626" s="40">
        <f>SUMIFS(Income_Tracker_Table[Amount Earned],Income_Tracker_Table[Date Received],"&gt;="&amp;T626,Income_Tracker_Table[Date Received],"&lt;="&amp;U626)</f>
        <v>0</v>
      </c>
    </row>
    <row r="627" spans="20:22" x14ac:dyDescent="0.3">
      <c r="T627" s="39">
        <v>62459</v>
      </c>
      <c r="U627" s="39">
        <f t="shared" si="10"/>
        <v>62489</v>
      </c>
      <c r="V627" s="40">
        <f>SUMIFS(Income_Tracker_Table[Amount Earned],Income_Tracker_Table[Date Received],"&gt;="&amp;T627,Income_Tracker_Table[Date Received],"&lt;="&amp;U627)</f>
        <v>0</v>
      </c>
    </row>
    <row r="628" spans="20:22" x14ac:dyDescent="0.3">
      <c r="T628" s="39">
        <v>62490</v>
      </c>
      <c r="U628" s="39">
        <f t="shared" si="10"/>
        <v>62517</v>
      </c>
      <c r="V628" s="40">
        <f>SUMIFS(Income_Tracker_Table[Amount Earned],Income_Tracker_Table[Date Received],"&gt;="&amp;T628,Income_Tracker_Table[Date Received],"&lt;="&amp;U628)</f>
        <v>0</v>
      </c>
    </row>
    <row r="629" spans="20:22" x14ac:dyDescent="0.3">
      <c r="T629" s="39">
        <v>62518</v>
      </c>
      <c r="U629" s="39">
        <f t="shared" si="10"/>
        <v>62548</v>
      </c>
      <c r="V629" s="40">
        <f>SUMIFS(Income_Tracker_Table[Amount Earned],Income_Tracker_Table[Date Received],"&gt;="&amp;T629,Income_Tracker_Table[Date Received],"&lt;="&amp;U629)</f>
        <v>0</v>
      </c>
    </row>
    <row r="630" spans="20:22" x14ac:dyDescent="0.3">
      <c r="T630" s="39">
        <v>62549</v>
      </c>
      <c r="U630" s="39">
        <f t="shared" si="10"/>
        <v>62578</v>
      </c>
      <c r="V630" s="40">
        <f>SUMIFS(Income_Tracker_Table[Amount Earned],Income_Tracker_Table[Date Received],"&gt;="&amp;T630,Income_Tracker_Table[Date Received],"&lt;="&amp;U630)</f>
        <v>0</v>
      </c>
    </row>
    <row r="631" spans="20:22" x14ac:dyDescent="0.3">
      <c r="T631" s="39">
        <v>62579</v>
      </c>
      <c r="U631" s="39">
        <f t="shared" si="10"/>
        <v>62609</v>
      </c>
      <c r="V631" s="40">
        <f>SUMIFS(Income_Tracker_Table[Amount Earned],Income_Tracker_Table[Date Received],"&gt;="&amp;T631,Income_Tracker_Table[Date Received],"&lt;="&amp;U631)</f>
        <v>0</v>
      </c>
    </row>
    <row r="632" spans="20:22" x14ac:dyDescent="0.3">
      <c r="T632" s="39">
        <v>62610</v>
      </c>
      <c r="U632" s="39">
        <f t="shared" si="10"/>
        <v>62639</v>
      </c>
      <c r="V632" s="40">
        <f>SUMIFS(Income_Tracker_Table[Amount Earned],Income_Tracker_Table[Date Received],"&gt;="&amp;T632,Income_Tracker_Table[Date Received],"&lt;="&amp;U632)</f>
        <v>0</v>
      </c>
    </row>
    <row r="633" spans="20:22" x14ac:dyDescent="0.3">
      <c r="T633" s="39">
        <v>62640</v>
      </c>
      <c r="U633" s="39">
        <f t="shared" si="10"/>
        <v>62670</v>
      </c>
      <c r="V633" s="40">
        <f>SUMIFS(Income_Tracker_Table[Amount Earned],Income_Tracker_Table[Date Received],"&gt;="&amp;T633,Income_Tracker_Table[Date Received],"&lt;="&amp;U633)</f>
        <v>0</v>
      </c>
    </row>
    <row r="634" spans="20:22" x14ac:dyDescent="0.3">
      <c r="T634" s="39">
        <v>62671</v>
      </c>
      <c r="U634" s="39">
        <f t="shared" si="10"/>
        <v>62701</v>
      </c>
      <c r="V634" s="40">
        <f>SUMIFS(Income_Tracker_Table[Amount Earned],Income_Tracker_Table[Date Received],"&gt;="&amp;T634,Income_Tracker_Table[Date Received],"&lt;="&amp;U634)</f>
        <v>0</v>
      </c>
    </row>
    <row r="635" spans="20:22" x14ac:dyDescent="0.3">
      <c r="T635" s="39">
        <v>62702</v>
      </c>
      <c r="U635" s="39">
        <f t="shared" si="10"/>
        <v>62731</v>
      </c>
      <c r="V635" s="40">
        <f>SUMIFS(Income_Tracker_Table[Amount Earned],Income_Tracker_Table[Date Received],"&gt;="&amp;T635,Income_Tracker_Table[Date Received],"&lt;="&amp;U635)</f>
        <v>0</v>
      </c>
    </row>
    <row r="636" spans="20:22" x14ac:dyDescent="0.3">
      <c r="T636" s="39">
        <v>62732</v>
      </c>
      <c r="U636" s="39">
        <f t="shared" si="10"/>
        <v>62762</v>
      </c>
      <c r="V636" s="40">
        <f>SUMIFS(Income_Tracker_Table[Amount Earned],Income_Tracker_Table[Date Received],"&gt;="&amp;T636,Income_Tracker_Table[Date Received],"&lt;="&amp;U636)</f>
        <v>0</v>
      </c>
    </row>
    <row r="637" spans="20:22" x14ac:dyDescent="0.3">
      <c r="T637" s="39">
        <v>62763</v>
      </c>
      <c r="U637" s="39">
        <f t="shared" si="10"/>
        <v>62792</v>
      </c>
      <c r="V637" s="40">
        <f>SUMIFS(Income_Tracker_Table[Amount Earned],Income_Tracker_Table[Date Received],"&gt;="&amp;T637,Income_Tracker_Table[Date Received],"&lt;="&amp;U637)</f>
        <v>0</v>
      </c>
    </row>
    <row r="638" spans="20:22" x14ac:dyDescent="0.3">
      <c r="T638" s="39">
        <v>62793</v>
      </c>
      <c r="U638" s="39">
        <f t="shared" si="10"/>
        <v>62823</v>
      </c>
      <c r="V638" s="40">
        <f>SUMIFS(Income_Tracker_Table[Amount Earned],Income_Tracker_Table[Date Received],"&gt;="&amp;T638,Income_Tracker_Table[Date Received],"&lt;="&amp;U638)</f>
        <v>0</v>
      </c>
    </row>
    <row r="639" spans="20:22" x14ac:dyDescent="0.3">
      <c r="T639" s="39">
        <v>62824</v>
      </c>
      <c r="U639" s="39">
        <f t="shared" si="10"/>
        <v>62854</v>
      </c>
      <c r="V639" s="40">
        <f>SUMIFS(Income_Tracker_Table[Amount Earned],Income_Tracker_Table[Date Received],"&gt;="&amp;T639,Income_Tracker_Table[Date Received],"&lt;="&amp;U639)</f>
        <v>0</v>
      </c>
    </row>
    <row r="640" spans="20:22" x14ac:dyDescent="0.3">
      <c r="T640" s="39">
        <v>62855</v>
      </c>
      <c r="U640" s="39">
        <f t="shared" si="10"/>
        <v>62883</v>
      </c>
      <c r="V640" s="40">
        <f>SUMIFS(Income_Tracker_Table[Amount Earned],Income_Tracker_Table[Date Received],"&gt;="&amp;T640,Income_Tracker_Table[Date Received],"&lt;="&amp;U640)</f>
        <v>0</v>
      </c>
    </row>
    <row r="641" spans="20:22" x14ac:dyDescent="0.3">
      <c r="T641" s="39">
        <v>62884</v>
      </c>
      <c r="U641" s="39">
        <f t="shared" si="10"/>
        <v>62914</v>
      </c>
      <c r="V641" s="40">
        <f>SUMIFS(Income_Tracker_Table[Amount Earned],Income_Tracker_Table[Date Received],"&gt;="&amp;T641,Income_Tracker_Table[Date Received],"&lt;="&amp;U641)</f>
        <v>0</v>
      </c>
    </row>
    <row r="642" spans="20:22" x14ac:dyDescent="0.3">
      <c r="T642" s="39">
        <v>62915</v>
      </c>
      <c r="U642" s="39">
        <f t="shared" si="10"/>
        <v>62944</v>
      </c>
      <c r="V642" s="40">
        <f>SUMIFS(Income_Tracker_Table[Amount Earned],Income_Tracker_Table[Date Received],"&gt;="&amp;T642,Income_Tracker_Table[Date Received],"&lt;="&amp;U642)</f>
        <v>0</v>
      </c>
    </row>
    <row r="643" spans="20:22" x14ac:dyDescent="0.3">
      <c r="T643" s="39">
        <v>62945</v>
      </c>
      <c r="U643" s="39">
        <f t="shared" si="10"/>
        <v>62975</v>
      </c>
      <c r="V643" s="40">
        <f>SUMIFS(Income_Tracker_Table[Amount Earned],Income_Tracker_Table[Date Received],"&gt;="&amp;T643,Income_Tracker_Table[Date Received],"&lt;="&amp;U643)</f>
        <v>0</v>
      </c>
    </row>
    <row r="644" spans="20:22" x14ac:dyDescent="0.3">
      <c r="T644" s="39">
        <v>62976</v>
      </c>
      <c r="U644" s="39">
        <f t="shared" si="10"/>
        <v>63005</v>
      </c>
      <c r="V644" s="40">
        <f>SUMIFS(Income_Tracker_Table[Amount Earned],Income_Tracker_Table[Date Received],"&gt;="&amp;T644,Income_Tracker_Table[Date Received],"&lt;="&amp;U644)</f>
        <v>0</v>
      </c>
    </row>
    <row r="645" spans="20:22" x14ac:dyDescent="0.3">
      <c r="T645" s="39">
        <v>63006</v>
      </c>
      <c r="U645" s="39">
        <f t="shared" si="10"/>
        <v>63036</v>
      </c>
      <c r="V645" s="40">
        <f>SUMIFS(Income_Tracker_Table[Amount Earned],Income_Tracker_Table[Date Received],"&gt;="&amp;T645,Income_Tracker_Table[Date Received],"&lt;="&amp;U645)</f>
        <v>0</v>
      </c>
    </row>
    <row r="646" spans="20:22" x14ac:dyDescent="0.3">
      <c r="T646" s="39">
        <v>63037</v>
      </c>
      <c r="U646" s="39">
        <f t="shared" si="10"/>
        <v>63067</v>
      </c>
      <c r="V646" s="40">
        <f>SUMIFS(Income_Tracker_Table[Amount Earned],Income_Tracker_Table[Date Received],"&gt;="&amp;T646,Income_Tracker_Table[Date Received],"&lt;="&amp;U646)</f>
        <v>0</v>
      </c>
    </row>
    <row r="647" spans="20:22" x14ac:dyDescent="0.3">
      <c r="T647" s="39">
        <v>63068</v>
      </c>
      <c r="U647" s="39">
        <f t="shared" si="10"/>
        <v>63097</v>
      </c>
      <c r="V647" s="40">
        <f>SUMIFS(Income_Tracker_Table[Amount Earned],Income_Tracker_Table[Date Received],"&gt;="&amp;T647,Income_Tracker_Table[Date Received],"&lt;="&amp;U647)</f>
        <v>0</v>
      </c>
    </row>
    <row r="648" spans="20:22" x14ac:dyDescent="0.3">
      <c r="T648" s="39">
        <v>63098</v>
      </c>
      <c r="U648" s="39">
        <f t="shared" si="10"/>
        <v>63128</v>
      </c>
      <c r="V648" s="40">
        <f>SUMIFS(Income_Tracker_Table[Amount Earned],Income_Tracker_Table[Date Received],"&gt;="&amp;T648,Income_Tracker_Table[Date Received],"&lt;="&amp;U648)</f>
        <v>0</v>
      </c>
    </row>
    <row r="649" spans="20:22" x14ac:dyDescent="0.3">
      <c r="T649" s="39">
        <v>63129</v>
      </c>
      <c r="U649" s="39">
        <f t="shared" ref="U649:U712" si="11">EOMONTH(T649,0)</f>
        <v>63158</v>
      </c>
      <c r="V649" s="40">
        <f>SUMIFS(Income_Tracker_Table[Amount Earned],Income_Tracker_Table[Date Received],"&gt;="&amp;T649,Income_Tracker_Table[Date Received],"&lt;="&amp;U649)</f>
        <v>0</v>
      </c>
    </row>
    <row r="650" spans="20:22" x14ac:dyDescent="0.3">
      <c r="T650" s="39">
        <v>63159</v>
      </c>
      <c r="U650" s="39">
        <f t="shared" si="11"/>
        <v>63189</v>
      </c>
      <c r="V650" s="40">
        <f>SUMIFS(Income_Tracker_Table[Amount Earned],Income_Tracker_Table[Date Received],"&gt;="&amp;T650,Income_Tracker_Table[Date Received],"&lt;="&amp;U650)</f>
        <v>0</v>
      </c>
    </row>
    <row r="651" spans="20:22" x14ac:dyDescent="0.3">
      <c r="T651" s="39">
        <v>63190</v>
      </c>
      <c r="U651" s="39">
        <f t="shared" si="11"/>
        <v>63220</v>
      </c>
      <c r="V651" s="40">
        <f>SUMIFS(Income_Tracker_Table[Amount Earned],Income_Tracker_Table[Date Received],"&gt;="&amp;T651,Income_Tracker_Table[Date Received],"&lt;="&amp;U651)</f>
        <v>0</v>
      </c>
    </row>
    <row r="652" spans="20:22" x14ac:dyDescent="0.3">
      <c r="T652" s="39">
        <v>63221</v>
      </c>
      <c r="U652" s="39">
        <f t="shared" si="11"/>
        <v>63248</v>
      </c>
      <c r="V652" s="40">
        <f>SUMIFS(Income_Tracker_Table[Amount Earned],Income_Tracker_Table[Date Received],"&gt;="&amp;T652,Income_Tracker_Table[Date Received],"&lt;="&amp;U652)</f>
        <v>0</v>
      </c>
    </row>
    <row r="653" spans="20:22" x14ac:dyDescent="0.3">
      <c r="T653" s="39">
        <v>63249</v>
      </c>
      <c r="U653" s="39">
        <f t="shared" si="11"/>
        <v>63279</v>
      </c>
      <c r="V653" s="40">
        <f>SUMIFS(Income_Tracker_Table[Amount Earned],Income_Tracker_Table[Date Received],"&gt;="&amp;T653,Income_Tracker_Table[Date Received],"&lt;="&amp;U653)</f>
        <v>0</v>
      </c>
    </row>
    <row r="654" spans="20:22" x14ac:dyDescent="0.3">
      <c r="T654" s="39">
        <v>63280</v>
      </c>
      <c r="U654" s="39">
        <f t="shared" si="11"/>
        <v>63309</v>
      </c>
      <c r="V654" s="40">
        <f>SUMIFS(Income_Tracker_Table[Amount Earned],Income_Tracker_Table[Date Received],"&gt;="&amp;T654,Income_Tracker_Table[Date Received],"&lt;="&amp;U654)</f>
        <v>0</v>
      </c>
    </row>
    <row r="655" spans="20:22" x14ac:dyDescent="0.3">
      <c r="T655" s="39">
        <v>63310</v>
      </c>
      <c r="U655" s="39">
        <f t="shared" si="11"/>
        <v>63340</v>
      </c>
      <c r="V655" s="40">
        <f>SUMIFS(Income_Tracker_Table[Amount Earned],Income_Tracker_Table[Date Received],"&gt;="&amp;T655,Income_Tracker_Table[Date Received],"&lt;="&amp;U655)</f>
        <v>0</v>
      </c>
    </row>
    <row r="656" spans="20:22" x14ac:dyDescent="0.3">
      <c r="T656" s="39">
        <v>63341</v>
      </c>
      <c r="U656" s="39">
        <f t="shared" si="11"/>
        <v>63370</v>
      </c>
      <c r="V656" s="40">
        <f>SUMIFS(Income_Tracker_Table[Amount Earned],Income_Tracker_Table[Date Received],"&gt;="&amp;T656,Income_Tracker_Table[Date Received],"&lt;="&amp;U656)</f>
        <v>0</v>
      </c>
    </row>
    <row r="657" spans="20:22" x14ac:dyDescent="0.3">
      <c r="T657" s="39">
        <v>63371</v>
      </c>
      <c r="U657" s="39">
        <f t="shared" si="11"/>
        <v>63401</v>
      </c>
      <c r="V657" s="40">
        <f>SUMIFS(Income_Tracker_Table[Amount Earned],Income_Tracker_Table[Date Received],"&gt;="&amp;T657,Income_Tracker_Table[Date Received],"&lt;="&amp;U657)</f>
        <v>0</v>
      </c>
    </row>
    <row r="658" spans="20:22" x14ac:dyDescent="0.3">
      <c r="T658" s="39">
        <v>63402</v>
      </c>
      <c r="U658" s="39">
        <f t="shared" si="11"/>
        <v>63432</v>
      </c>
      <c r="V658" s="40">
        <f>SUMIFS(Income_Tracker_Table[Amount Earned],Income_Tracker_Table[Date Received],"&gt;="&amp;T658,Income_Tracker_Table[Date Received],"&lt;="&amp;U658)</f>
        <v>0</v>
      </c>
    </row>
    <row r="659" spans="20:22" x14ac:dyDescent="0.3">
      <c r="T659" s="39">
        <v>63433</v>
      </c>
      <c r="U659" s="39">
        <f t="shared" si="11"/>
        <v>63462</v>
      </c>
      <c r="V659" s="40">
        <f>SUMIFS(Income_Tracker_Table[Amount Earned],Income_Tracker_Table[Date Received],"&gt;="&amp;T659,Income_Tracker_Table[Date Received],"&lt;="&amp;U659)</f>
        <v>0</v>
      </c>
    </row>
    <row r="660" spans="20:22" x14ac:dyDescent="0.3">
      <c r="T660" s="39">
        <v>63463</v>
      </c>
      <c r="U660" s="39">
        <f t="shared" si="11"/>
        <v>63493</v>
      </c>
      <c r="V660" s="40">
        <f>SUMIFS(Income_Tracker_Table[Amount Earned],Income_Tracker_Table[Date Received],"&gt;="&amp;T660,Income_Tracker_Table[Date Received],"&lt;="&amp;U660)</f>
        <v>0</v>
      </c>
    </row>
    <row r="661" spans="20:22" x14ac:dyDescent="0.3">
      <c r="T661" s="39">
        <v>63494</v>
      </c>
      <c r="U661" s="39">
        <f t="shared" si="11"/>
        <v>63523</v>
      </c>
      <c r="V661" s="40">
        <f>SUMIFS(Income_Tracker_Table[Amount Earned],Income_Tracker_Table[Date Received],"&gt;="&amp;T661,Income_Tracker_Table[Date Received],"&lt;="&amp;U661)</f>
        <v>0</v>
      </c>
    </row>
    <row r="662" spans="20:22" x14ac:dyDescent="0.3">
      <c r="T662" s="39">
        <v>63524</v>
      </c>
      <c r="U662" s="39">
        <f t="shared" si="11"/>
        <v>63554</v>
      </c>
      <c r="V662" s="40">
        <f>SUMIFS(Income_Tracker_Table[Amount Earned],Income_Tracker_Table[Date Received],"&gt;="&amp;T662,Income_Tracker_Table[Date Received],"&lt;="&amp;U662)</f>
        <v>0</v>
      </c>
    </row>
    <row r="663" spans="20:22" x14ac:dyDescent="0.3">
      <c r="T663" s="39">
        <v>63555</v>
      </c>
      <c r="U663" s="39">
        <f t="shared" si="11"/>
        <v>63585</v>
      </c>
      <c r="V663" s="40">
        <f>SUMIFS(Income_Tracker_Table[Amount Earned],Income_Tracker_Table[Date Received],"&gt;="&amp;T663,Income_Tracker_Table[Date Received],"&lt;="&amp;U663)</f>
        <v>0</v>
      </c>
    </row>
    <row r="664" spans="20:22" x14ac:dyDescent="0.3">
      <c r="T664" s="39">
        <v>63586</v>
      </c>
      <c r="U664" s="39">
        <f t="shared" si="11"/>
        <v>63613</v>
      </c>
      <c r="V664" s="40">
        <f>SUMIFS(Income_Tracker_Table[Amount Earned],Income_Tracker_Table[Date Received],"&gt;="&amp;T664,Income_Tracker_Table[Date Received],"&lt;="&amp;U664)</f>
        <v>0</v>
      </c>
    </row>
    <row r="665" spans="20:22" x14ac:dyDescent="0.3">
      <c r="T665" s="39">
        <v>63614</v>
      </c>
      <c r="U665" s="39">
        <f t="shared" si="11"/>
        <v>63644</v>
      </c>
      <c r="V665" s="40">
        <f>SUMIFS(Income_Tracker_Table[Amount Earned],Income_Tracker_Table[Date Received],"&gt;="&amp;T665,Income_Tracker_Table[Date Received],"&lt;="&amp;U665)</f>
        <v>0</v>
      </c>
    </row>
    <row r="666" spans="20:22" x14ac:dyDescent="0.3">
      <c r="T666" s="39">
        <v>63645</v>
      </c>
      <c r="U666" s="39">
        <f t="shared" si="11"/>
        <v>63674</v>
      </c>
      <c r="V666" s="40">
        <f>SUMIFS(Income_Tracker_Table[Amount Earned],Income_Tracker_Table[Date Received],"&gt;="&amp;T666,Income_Tracker_Table[Date Received],"&lt;="&amp;U666)</f>
        <v>0</v>
      </c>
    </row>
    <row r="667" spans="20:22" x14ac:dyDescent="0.3">
      <c r="T667" s="39">
        <v>63675</v>
      </c>
      <c r="U667" s="39">
        <f t="shared" si="11"/>
        <v>63705</v>
      </c>
      <c r="V667" s="40">
        <f>SUMIFS(Income_Tracker_Table[Amount Earned],Income_Tracker_Table[Date Received],"&gt;="&amp;T667,Income_Tracker_Table[Date Received],"&lt;="&amp;U667)</f>
        <v>0</v>
      </c>
    </row>
    <row r="668" spans="20:22" x14ac:dyDescent="0.3">
      <c r="T668" s="39">
        <v>63706</v>
      </c>
      <c r="U668" s="39">
        <f t="shared" si="11"/>
        <v>63735</v>
      </c>
      <c r="V668" s="40">
        <f>SUMIFS(Income_Tracker_Table[Amount Earned],Income_Tracker_Table[Date Received],"&gt;="&amp;T668,Income_Tracker_Table[Date Received],"&lt;="&amp;U668)</f>
        <v>0</v>
      </c>
    </row>
    <row r="669" spans="20:22" x14ac:dyDescent="0.3">
      <c r="T669" s="39">
        <v>63736</v>
      </c>
      <c r="U669" s="39">
        <f t="shared" si="11"/>
        <v>63766</v>
      </c>
      <c r="V669" s="40">
        <f>SUMIFS(Income_Tracker_Table[Amount Earned],Income_Tracker_Table[Date Received],"&gt;="&amp;T669,Income_Tracker_Table[Date Received],"&lt;="&amp;U669)</f>
        <v>0</v>
      </c>
    </row>
    <row r="670" spans="20:22" x14ac:dyDescent="0.3">
      <c r="T670" s="39">
        <v>63767</v>
      </c>
      <c r="U670" s="39">
        <f t="shared" si="11"/>
        <v>63797</v>
      </c>
      <c r="V670" s="40">
        <f>SUMIFS(Income_Tracker_Table[Amount Earned],Income_Tracker_Table[Date Received],"&gt;="&amp;T670,Income_Tracker_Table[Date Received],"&lt;="&amp;U670)</f>
        <v>0</v>
      </c>
    </row>
    <row r="671" spans="20:22" x14ac:dyDescent="0.3">
      <c r="T671" s="39">
        <v>63798</v>
      </c>
      <c r="U671" s="39">
        <f t="shared" si="11"/>
        <v>63827</v>
      </c>
      <c r="V671" s="40">
        <f>SUMIFS(Income_Tracker_Table[Amount Earned],Income_Tracker_Table[Date Received],"&gt;="&amp;T671,Income_Tracker_Table[Date Received],"&lt;="&amp;U671)</f>
        <v>0</v>
      </c>
    </row>
    <row r="672" spans="20:22" x14ac:dyDescent="0.3">
      <c r="T672" s="39">
        <v>63828</v>
      </c>
      <c r="U672" s="39">
        <f t="shared" si="11"/>
        <v>63858</v>
      </c>
      <c r="V672" s="40">
        <f>SUMIFS(Income_Tracker_Table[Amount Earned],Income_Tracker_Table[Date Received],"&gt;="&amp;T672,Income_Tracker_Table[Date Received],"&lt;="&amp;U672)</f>
        <v>0</v>
      </c>
    </row>
    <row r="673" spans="20:22" x14ac:dyDescent="0.3">
      <c r="T673" s="39">
        <v>63859</v>
      </c>
      <c r="U673" s="39">
        <f t="shared" si="11"/>
        <v>63888</v>
      </c>
      <c r="V673" s="40">
        <f>SUMIFS(Income_Tracker_Table[Amount Earned],Income_Tracker_Table[Date Received],"&gt;="&amp;T673,Income_Tracker_Table[Date Received],"&lt;="&amp;U673)</f>
        <v>0</v>
      </c>
    </row>
    <row r="674" spans="20:22" x14ac:dyDescent="0.3">
      <c r="T674" s="39">
        <v>63889</v>
      </c>
      <c r="U674" s="39">
        <f t="shared" si="11"/>
        <v>63919</v>
      </c>
      <c r="V674" s="40">
        <f>SUMIFS(Income_Tracker_Table[Amount Earned],Income_Tracker_Table[Date Received],"&gt;="&amp;T674,Income_Tracker_Table[Date Received],"&lt;="&amp;U674)</f>
        <v>0</v>
      </c>
    </row>
    <row r="675" spans="20:22" x14ac:dyDescent="0.3">
      <c r="T675" s="39">
        <v>63920</v>
      </c>
      <c r="U675" s="39">
        <f t="shared" si="11"/>
        <v>63950</v>
      </c>
      <c r="V675" s="40">
        <f>SUMIFS(Income_Tracker_Table[Amount Earned],Income_Tracker_Table[Date Received],"&gt;="&amp;T675,Income_Tracker_Table[Date Received],"&lt;="&amp;U675)</f>
        <v>0</v>
      </c>
    </row>
    <row r="676" spans="20:22" x14ac:dyDescent="0.3">
      <c r="T676" s="39">
        <v>63951</v>
      </c>
      <c r="U676" s="39">
        <f t="shared" si="11"/>
        <v>63978</v>
      </c>
      <c r="V676" s="40">
        <f>SUMIFS(Income_Tracker_Table[Amount Earned],Income_Tracker_Table[Date Received],"&gt;="&amp;T676,Income_Tracker_Table[Date Received],"&lt;="&amp;U676)</f>
        <v>0</v>
      </c>
    </row>
    <row r="677" spans="20:22" x14ac:dyDescent="0.3">
      <c r="T677" s="39">
        <v>63979</v>
      </c>
      <c r="U677" s="39">
        <f t="shared" si="11"/>
        <v>64009</v>
      </c>
      <c r="V677" s="40">
        <f>SUMIFS(Income_Tracker_Table[Amount Earned],Income_Tracker_Table[Date Received],"&gt;="&amp;T677,Income_Tracker_Table[Date Received],"&lt;="&amp;U677)</f>
        <v>0</v>
      </c>
    </row>
    <row r="678" spans="20:22" x14ac:dyDescent="0.3">
      <c r="T678" s="39">
        <v>64010</v>
      </c>
      <c r="U678" s="39">
        <f t="shared" si="11"/>
        <v>64039</v>
      </c>
      <c r="V678" s="40">
        <f>SUMIFS(Income_Tracker_Table[Amount Earned],Income_Tracker_Table[Date Received],"&gt;="&amp;T678,Income_Tracker_Table[Date Received],"&lt;="&amp;U678)</f>
        <v>0</v>
      </c>
    </row>
    <row r="679" spans="20:22" x14ac:dyDescent="0.3">
      <c r="T679" s="39">
        <v>64040</v>
      </c>
      <c r="U679" s="39">
        <f t="shared" si="11"/>
        <v>64070</v>
      </c>
      <c r="V679" s="40">
        <f>SUMIFS(Income_Tracker_Table[Amount Earned],Income_Tracker_Table[Date Received],"&gt;="&amp;T679,Income_Tracker_Table[Date Received],"&lt;="&amp;U679)</f>
        <v>0</v>
      </c>
    </row>
    <row r="680" spans="20:22" x14ac:dyDescent="0.3">
      <c r="T680" s="39">
        <v>64071</v>
      </c>
      <c r="U680" s="39">
        <f t="shared" si="11"/>
        <v>64100</v>
      </c>
      <c r="V680" s="40">
        <f>SUMIFS(Income_Tracker_Table[Amount Earned],Income_Tracker_Table[Date Received],"&gt;="&amp;T680,Income_Tracker_Table[Date Received],"&lt;="&amp;U680)</f>
        <v>0</v>
      </c>
    </row>
    <row r="681" spans="20:22" x14ac:dyDescent="0.3">
      <c r="T681" s="39">
        <v>64101</v>
      </c>
      <c r="U681" s="39">
        <f t="shared" si="11"/>
        <v>64131</v>
      </c>
      <c r="V681" s="40">
        <f>SUMIFS(Income_Tracker_Table[Amount Earned],Income_Tracker_Table[Date Received],"&gt;="&amp;T681,Income_Tracker_Table[Date Received],"&lt;="&amp;U681)</f>
        <v>0</v>
      </c>
    </row>
    <row r="682" spans="20:22" x14ac:dyDescent="0.3">
      <c r="T682" s="39">
        <v>64132</v>
      </c>
      <c r="U682" s="39">
        <f t="shared" si="11"/>
        <v>64162</v>
      </c>
      <c r="V682" s="40">
        <f>SUMIFS(Income_Tracker_Table[Amount Earned],Income_Tracker_Table[Date Received],"&gt;="&amp;T682,Income_Tracker_Table[Date Received],"&lt;="&amp;U682)</f>
        <v>0</v>
      </c>
    </row>
    <row r="683" spans="20:22" x14ac:dyDescent="0.3">
      <c r="T683" s="39">
        <v>64163</v>
      </c>
      <c r="U683" s="39">
        <f t="shared" si="11"/>
        <v>64192</v>
      </c>
      <c r="V683" s="40">
        <f>SUMIFS(Income_Tracker_Table[Amount Earned],Income_Tracker_Table[Date Received],"&gt;="&amp;T683,Income_Tracker_Table[Date Received],"&lt;="&amp;U683)</f>
        <v>0</v>
      </c>
    </row>
    <row r="684" spans="20:22" x14ac:dyDescent="0.3">
      <c r="T684" s="39">
        <v>64193</v>
      </c>
      <c r="U684" s="39">
        <f t="shared" si="11"/>
        <v>64223</v>
      </c>
      <c r="V684" s="40">
        <f>SUMIFS(Income_Tracker_Table[Amount Earned],Income_Tracker_Table[Date Received],"&gt;="&amp;T684,Income_Tracker_Table[Date Received],"&lt;="&amp;U684)</f>
        <v>0</v>
      </c>
    </row>
    <row r="685" spans="20:22" x14ac:dyDescent="0.3">
      <c r="T685" s="39">
        <v>64224</v>
      </c>
      <c r="U685" s="39">
        <f t="shared" si="11"/>
        <v>64253</v>
      </c>
      <c r="V685" s="40">
        <f>SUMIFS(Income_Tracker_Table[Amount Earned],Income_Tracker_Table[Date Received],"&gt;="&amp;T685,Income_Tracker_Table[Date Received],"&lt;="&amp;U685)</f>
        <v>0</v>
      </c>
    </row>
    <row r="686" spans="20:22" x14ac:dyDescent="0.3">
      <c r="T686" s="39">
        <v>64254</v>
      </c>
      <c r="U686" s="39">
        <f t="shared" si="11"/>
        <v>64284</v>
      </c>
      <c r="V686" s="40">
        <f>SUMIFS(Income_Tracker_Table[Amount Earned],Income_Tracker_Table[Date Received],"&gt;="&amp;T686,Income_Tracker_Table[Date Received],"&lt;="&amp;U686)</f>
        <v>0</v>
      </c>
    </row>
    <row r="687" spans="20:22" x14ac:dyDescent="0.3">
      <c r="T687" s="39">
        <v>64285</v>
      </c>
      <c r="U687" s="39">
        <f t="shared" si="11"/>
        <v>64315</v>
      </c>
      <c r="V687" s="40">
        <f>SUMIFS(Income_Tracker_Table[Amount Earned],Income_Tracker_Table[Date Received],"&gt;="&amp;T687,Income_Tracker_Table[Date Received],"&lt;="&amp;U687)</f>
        <v>0</v>
      </c>
    </row>
    <row r="688" spans="20:22" x14ac:dyDescent="0.3">
      <c r="T688" s="39">
        <v>64316</v>
      </c>
      <c r="U688" s="39">
        <f t="shared" si="11"/>
        <v>64344</v>
      </c>
      <c r="V688" s="40">
        <f>SUMIFS(Income_Tracker_Table[Amount Earned],Income_Tracker_Table[Date Received],"&gt;="&amp;T688,Income_Tracker_Table[Date Received],"&lt;="&amp;U688)</f>
        <v>0</v>
      </c>
    </row>
    <row r="689" spans="20:22" x14ac:dyDescent="0.3">
      <c r="T689" s="39">
        <v>64345</v>
      </c>
      <c r="U689" s="39">
        <f t="shared" si="11"/>
        <v>64375</v>
      </c>
      <c r="V689" s="40">
        <f>SUMIFS(Income_Tracker_Table[Amount Earned],Income_Tracker_Table[Date Received],"&gt;="&amp;T689,Income_Tracker_Table[Date Received],"&lt;="&amp;U689)</f>
        <v>0</v>
      </c>
    </row>
    <row r="690" spans="20:22" x14ac:dyDescent="0.3">
      <c r="T690" s="39">
        <v>64376</v>
      </c>
      <c r="U690" s="39">
        <f t="shared" si="11"/>
        <v>64405</v>
      </c>
      <c r="V690" s="40">
        <f>SUMIFS(Income_Tracker_Table[Amount Earned],Income_Tracker_Table[Date Received],"&gt;="&amp;T690,Income_Tracker_Table[Date Received],"&lt;="&amp;U690)</f>
        <v>0</v>
      </c>
    </row>
    <row r="691" spans="20:22" x14ac:dyDescent="0.3">
      <c r="T691" s="39">
        <v>64406</v>
      </c>
      <c r="U691" s="39">
        <f t="shared" si="11"/>
        <v>64436</v>
      </c>
      <c r="V691" s="40">
        <f>SUMIFS(Income_Tracker_Table[Amount Earned],Income_Tracker_Table[Date Received],"&gt;="&amp;T691,Income_Tracker_Table[Date Received],"&lt;="&amp;U691)</f>
        <v>0</v>
      </c>
    </row>
    <row r="692" spans="20:22" x14ac:dyDescent="0.3">
      <c r="T692" s="39">
        <v>64437</v>
      </c>
      <c r="U692" s="39">
        <f t="shared" si="11"/>
        <v>64466</v>
      </c>
      <c r="V692" s="40">
        <f>SUMIFS(Income_Tracker_Table[Amount Earned],Income_Tracker_Table[Date Received],"&gt;="&amp;T692,Income_Tracker_Table[Date Received],"&lt;="&amp;U692)</f>
        <v>0</v>
      </c>
    </row>
    <row r="693" spans="20:22" x14ac:dyDescent="0.3">
      <c r="T693" s="39">
        <v>64467</v>
      </c>
      <c r="U693" s="39">
        <f t="shared" si="11"/>
        <v>64497</v>
      </c>
      <c r="V693" s="40">
        <f>SUMIFS(Income_Tracker_Table[Amount Earned],Income_Tracker_Table[Date Received],"&gt;="&amp;T693,Income_Tracker_Table[Date Received],"&lt;="&amp;U693)</f>
        <v>0</v>
      </c>
    </row>
    <row r="694" spans="20:22" x14ac:dyDescent="0.3">
      <c r="T694" s="39">
        <v>64498</v>
      </c>
      <c r="U694" s="39">
        <f t="shared" si="11"/>
        <v>64528</v>
      </c>
      <c r="V694" s="40">
        <f>SUMIFS(Income_Tracker_Table[Amount Earned],Income_Tracker_Table[Date Received],"&gt;="&amp;T694,Income_Tracker_Table[Date Received],"&lt;="&amp;U694)</f>
        <v>0</v>
      </c>
    </row>
    <row r="695" spans="20:22" x14ac:dyDescent="0.3">
      <c r="T695" s="39">
        <v>64529</v>
      </c>
      <c r="U695" s="39">
        <f t="shared" si="11"/>
        <v>64558</v>
      </c>
      <c r="V695" s="40">
        <f>SUMIFS(Income_Tracker_Table[Amount Earned],Income_Tracker_Table[Date Received],"&gt;="&amp;T695,Income_Tracker_Table[Date Received],"&lt;="&amp;U695)</f>
        <v>0</v>
      </c>
    </row>
    <row r="696" spans="20:22" x14ac:dyDescent="0.3">
      <c r="T696" s="39">
        <v>64559</v>
      </c>
      <c r="U696" s="39">
        <f t="shared" si="11"/>
        <v>64589</v>
      </c>
      <c r="V696" s="40">
        <f>SUMIFS(Income_Tracker_Table[Amount Earned],Income_Tracker_Table[Date Received],"&gt;="&amp;T696,Income_Tracker_Table[Date Received],"&lt;="&amp;U696)</f>
        <v>0</v>
      </c>
    </row>
    <row r="697" spans="20:22" x14ac:dyDescent="0.3">
      <c r="T697" s="39">
        <v>64590</v>
      </c>
      <c r="U697" s="39">
        <f t="shared" si="11"/>
        <v>64619</v>
      </c>
      <c r="V697" s="40">
        <f>SUMIFS(Income_Tracker_Table[Amount Earned],Income_Tracker_Table[Date Received],"&gt;="&amp;T697,Income_Tracker_Table[Date Received],"&lt;="&amp;U697)</f>
        <v>0</v>
      </c>
    </row>
    <row r="698" spans="20:22" x14ac:dyDescent="0.3">
      <c r="T698" s="39">
        <v>64620</v>
      </c>
      <c r="U698" s="39">
        <f t="shared" si="11"/>
        <v>64650</v>
      </c>
      <c r="V698" s="40">
        <f>SUMIFS(Income_Tracker_Table[Amount Earned],Income_Tracker_Table[Date Received],"&gt;="&amp;T698,Income_Tracker_Table[Date Received],"&lt;="&amp;U698)</f>
        <v>0</v>
      </c>
    </row>
    <row r="699" spans="20:22" x14ac:dyDescent="0.3">
      <c r="T699" s="39">
        <v>64651</v>
      </c>
      <c r="U699" s="39">
        <f t="shared" si="11"/>
        <v>64681</v>
      </c>
      <c r="V699" s="40">
        <f>SUMIFS(Income_Tracker_Table[Amount Earned],Income_Tracker_Table[Date Received],"&gt;="&amp;T699,Income_Tracker_Table[Date Received],"&lt;="&amp;U699)</f>
        <v>0</v>
      </c>
    </row>
    <row r="700" spans="20:22" x14ac:dyDescent="0.3">
      <c r="T700" s="39">
        <v>64682</v>
      </c>
      <c r="U700" s="39">
        <f t="shared" si="11"/>
        <v>64709</v>
      </c>
      <c r="V700" s="40">
        <f>SUMIFS(Income_Tracker_Table[Amount Earned],Income_Tracker_Table[Date Received],"&gt;="&amp;T700,Income_Tracker_Table[Date Received],"&lt;="&amp;U700)</f>
        <v>0</v>
      </c>
    </row>
    <row r="701" spans="20:22" x14ac:dyDescent="0.3">
      <c r="T701" s="39">
        <v>64710</v>
      </c>
      <c r="U701" s="39">
        <f t="shared" si="11"/>
        <v>64740</v>
      </c>
      <c r="V701" s="40">
        <f>SUMIFS(Income_Tracker_Table[Amount Earned],Income_Tracker_Table[Date Received],"&gt;="&amp;T701,Income_Tracker_Table[Date Received],"&lt;="&amp;U701)</f>
        <v>0</v>
      </c>
    </row>
    <row r="702" spans="20:22" x14ac:dyDescent="0.3">
      <c r="T702" s="39">
        <v>64741</v>
      </c>
      <c r="U702" s="39">
        <f t="shared" si="11"/>
        <v>64770</v>
      </c>
      <c r="V702" s="40">
        <f>SUMIFS(Income_Tracker_Table[Amount Earned],Income_Tracker_Table[Date Received],"&gt;="&amp;T702,Income_Tracker_Table[Date Received],"&lt;="&amp;U702)</f>
        <v>0</v>
      </c>
    </row>
    <row r="703" spans="20:22" x14ac:dyDescent="0.3">
      <c r="T703" s="39">
        <v>64771</v>
      </c>
      <c r="U703" s="39">
        <f t="shared" si="11"/>
        <v>64801</v>
      </c>
      <c r="V703" s="40">
        <f>SUMIFS(Income_Tracker_Table[Amount Earned],Income_Tracker_Table[Date Received],"&gt;="&amp;T703,Income_Tracker_Table[Date Received],"&lt;="&amp;U703)</f>
        <v>0</v>
      </c>
    </row>
    <row r="704" spans="20:22" x14ac:dyDescent="0.3">
      <c r="T704" s="39">
        <v>64802</v>
      </c>
      <c r="U704" s="39">
        <f t="shared" si="11"/>
        <v>64831</v>
      </c>
      <c r="V704" s="40">
        <f>SUMIFS(Income_Tracker_Table[Amount Earned],Income_Tracker_Table[Date Received],"&gt;="&amp;T704,Income_Tracker_Table[Date Received],"&lt;="&amp;U704)</f>
        <v>0</v>
      </c>
    </row>
    <row r="705" spans="20:22" x14ac:dyDescent="0.3">
      <c r="T705" s="39">
        <v>64832</v>
      </c>
      <c r="U705" s="39">
        <f t="shared" si="11"/>
        <v>64862</v>
      </c>
      <c r="V705" s="40">
        <f>SUMIFS(Income_Tracker_Table[Amount Earned],Income_Tracker_Table[Date Received],"&gt;="&amp;T705,Income_Tracker_Table[Date Received],"&lt;="&amp;U705)</f>
        <v>0</v>
      </c>
    </row>
    <row r="706" spans="20:22" x14ac:dyDescent="0.3">
      <c r="T706" s="39">
        <v>64863</v>
      </c>
      <c r="U706" s="39">
        <f t="shared" si="11"/>
        <v>64893</v>
      </c>
      <c r="V706" s="40">
        <f>SUMIFS(Income_Tracker_Table[Amount Earned],Income_Tracker_Table[Date Received],"&gt;="&amp;T706,Income_Tracker_Table[Date Received],"&lt;="&amp;U706)</f>
        <v>0</v>
      </c>
    </row>
    <row r="707" spans="20:22" x14ac:dyDescent="0.3">
      <c r="T707" s="39">
        <v>64894</v>
      </c>
      <c r="U707" s="39">
        <f t="shared" si="11"/>
        <v>64923</v>
      </c>
      <c r="V707" s="40">
        <f>SUMIFS(Income_Tracker_Table[Amount Earned],Income_Tracker_Table[Date Received],"&gt;="&amp;T707,Income_Tracker_Table[Date Received],"&lt;="&amp;U707)</f>
        <v>0</v>
      </c>
    </row>
    <row r="708" spans="20:22" x14ac:dyDescent="0.3">
      <c r="T708" s="39">
        <v>64924</v>
      </c>
      <c r="U708" s="39">
        <f t="shared" si="11"/>
        <v>64954</v>
      </c>
      <c r="V708" s="40">
        <f>SUMIFS(Income_Tracker_Table[Amount Earned],Income_Tracker_Table[Date Received],"&gt;="&amp;T708,Income_Tracker_Table[Date Received],"&lt;="&amp;U708)</f>
        <v>0</v>
      </c>
    </row>
    <row r="709" spans="20:22" x14ac:dyDescent="0.3">
      <c r="T709" s="39">
        <v>64955</v>
      </c>
      <c r="U709" s="39">
        <f t="shared" si="11"/>
        <v>64984</v>
      </c>
      <c r="V709" s="40">
        <f>SUMIFS(Income_Tracker_Table[Amount Earned],Income_Tracker_Table[Date Received],"&gt;="&amp;T709,Income_Tracker_Table[Date Received],"&lt;="&amp;U709)</f>
        <v>0</v>
      </c>
    </row>
    <row r="710" spans="20:22" x14ac:dyDescent="0.3">
      <c r="T710" s="39">
        <v>64985</v>
      </c>
      <c r="U710" s="39">
        <f t="shared" si="11"/>
        <v>65015</v>
      </c>
      <c r="V710" s="40">
        <f>SUMIFS(Income_Tracker_Table[Amount Earned],Income_Tracker_Table[Date Received],"&gt;="&amp;T710,Income_Tracker_Table[Date Received],"&lt;="&amp;U710)</f>
        <v>0</v>
      </c>
    </row>
    <row r="711" spans="20:22" x14ac:dyDescent="0.3">
      <c r="T711" s="39">
        <v>65016</v>
      </c>
      <c r="U711" s="39">
        <f t="shared" si="11"/>
        <v>65046</v>
      </c>
      <c r="V711" s="40">
        <f>SUMIFS(Income_Tracker_Table[Amount Earned],Income_Tracker_Table[Date Received],"&gt;="&amp;T711,Income_Tracker_Table[Date Received],"&lt;="&amp;U711)</f>
        <v>0</v>
      </c>
    </row>
    <row r="712" spans="20:22" x14ac:dyDescent="0.3">
      <c r="T712" s="39">
        <v>65047</v>
      </c>
      <c r="U712" s="39">
        <f t="shared" si="11"/>
        <v>65074</v>
      </c>
      <c r="V712" s="40">
        <f>SUMIFS(Income_Tracker_Table[Amount Earned],Income_Tracker_Table[Date Received],"&gt;="&amp;T712,Income_Tracker_Table[Date Received],"&lt;="&amp;U712)</f>
        <v>0</v>
      </c>
    </row>
    <row r="713" spans="20:22" x14ac:dyDescent="0.3">
      <c r="T713" s="39">
        <v>65075</v>
      </c>
      <c r="U713" s="39">
        <f t="shared" ref="U713:U776" si="12">EOMONTH(T713,0)</f>
        <v>65105</v>
      </c>
      <c r="V713" s="40">
        <f>SUMIFS(Income_Tracker_Table[Amount Earned],Income_Tracker_Table[Date Received],"&gt;="&amp;T713,Income_Tracker_Table[Date Received],"&lt;="&amp;U713)</f>
        <v>0</v>
      </c>
    </row>
    <row r="714" spans="20:22" x14ac:dyDescent="0.3">
      <c r="T714" s="39">
        <v>65106</v>
      </c>
      <c r="U714" s="39">
        <f t="shared" si="12"/>
        <v>65135</v>
      </c>
      <c r="V714" s="40">
        <f>SUMIFS(Income_Tracker_Table[Amount Earned],Income_Tracker_Table[Date Received],"&gt;="&amp;T714,Income_Tracker_Table[Date Received],"&lt;="&amp;U714)</f>
        <v>0</v>
      </c>
    </row>
    <row r="715" spans="20:22" x14ac:dyDescent="0.3">
      <c r="T715" s="39">
        <v>65136</v>
      </c>
      <c r="U715" s="39">
        <f t="shared" si="12"/>
        <v>65166</v>
      </c>
      <c r="V715" s="40">
        <f>SUMIFS(Income_Tracker_Table[Amount Earned],Income_Tracker_Table[Date Received],"&gt;="&amp;T715,Income_Tracker_Table[Date Received],"&lt;="&amp;U715)</f>
        <v>0</v>
      </c>
    </row>
    <row r="716" spans="20:22" x14ac:dyDescent="0.3">
      <c r="T716" s="39">
        <v>65167</v>
      </c>
      <c r="U716" s="39">
        <f t="shared" si="12"/>
        <v>65196</v>
      </c>
      <c r="V716" s="40">
        <f>SUMIFS(Income_Tracker_Table[Amount Earned],Income_Tracker_Table[Date Received],"&gt;="&amp;T716,Income_Tracker_Table[Date Received],"&lt;="&amp;U716)</f>
        <v>0</v>
      </c>
    </row>
    <row r="717" spans="20:22" x14ac:dyDescent="0.3">
      <c r="T717" s="39">
        <v>65197</v>
      </c>
      <c r="U717" s="39">
        <f t="shared" si="12"/>
        <v>65227</v>
      </c>
      <c r="V717" s="40">
        <f>SUMIFS(Income_Tracker_Table[Amount Earned],Income_Tracker_Table[Date Received],"&gt;="&amp;T717,Income_Tracker_Table[Date Received],"&lt;="&amp;U717)</f>
        <v>0</v>
      </c>
    </row>
    <row r="718" spans="20:22" x14ac:dyDescent="0.3">
      <c r="T718" s="39">
        <v>65228</v>
      </c>
      <c r="U718" s="39">
        <f t="shared" si="12"/>
        <v>65258</v>
      </c>
      <c r="V718" s="40">
        <f>SUMIFS(Income_Tracker_Table[Amount Earned],Income_Tracker_Table[Date Received],"&gt;="&amp;T718,Income_Tracker_Table[Date Received],"&lt;="&amp;U718)</f>
        <v>0</v>
      </c>
    </row>
    <row r="719" spans="20:22" x14ac:dyDescent="0.3">
      <c r="T719" s="39">
        <v>65259</v>
      </c>
      <c r="U719" s="39">
        <f t="shared" si="12"/>
        <v>65288</v>
      </c>
      <c r="V719" s="40">
        <f>SUMIFS(Income_Tracker_Table[Amount Earned],Income_Tracker_Table[Date Received],"&gt;="&amp;T719,Income_Tracker_Table[Date Received],"&lt;="&amp;U719)</f>
        <v>0</v>
      </c>
    </row>
    <row r="720" spans="20:22" x14ac:dyDescent="0.3">
      <c r="T720" s="39">
        <v>65289</v>
      </c>
      <c r="U720" s="39">
        <f t="shared" si="12"/>
        <v>65319</v>
      </c>
      <c r="V720" s="40">
        <f>SUMIFS(Income_Tracker_Table[Amount Earned],Income_Tracker_Table[Date Received],"&gt;="&amp;T720,Income_Tracker_Table[Date Received],"&lt;="&amp;U720)</f>
        <v>0</v>
      </c>
    </row>
    <row r="721" spans="20:22" x14ac:dyDescent="0.3">
      <c r="T721" s="39">
        <v>65320</v>
      </c>
      <c r="U721" s="39">
        <f t="shared" si="12"/>
        <v>65349</v>
      </c>
      <c r="V721" s="40">
        <f>SUMIFS(Income_Tracker_Table[Amount Earned],Income_Tracker_Table[Date Received],"&gt;="&amp;T721,Income_Tracker_Table[Date Received],"&lt;="&amp;U721)</f>
        <v>0</v>
      </c>
    </row>
    <row r="722" spans="20:22" x14ac:dyDescent="0.3">
      <c r="T722" s="39">
        <v>65350</v>
      </c>
      <c r="U722" s="39">
        <f t="shared" si="12"/>
        <v>65380</v>
      </c>
      <c r="V722" s="40">
        <f>SUMIFS(Income_Tracker_Table[Amount Earned],Income_Tracker_Table[Date Received],"&gt;="&amp;T722,Income_Tracker_Table[Date Received],"&lt;="&amp;U722)</f>
        <v>0</v>
      </c>
    </row>
    <row r="723" spans="20:22" x14ac:dyDescent="0.3">
      <c r="T723" s="39">
        <v>65381</v>
      </c>
      <c r="U723" s="39">
        <f t="shared" si="12"/>
        <v>65411</v>
      </c>
      <c r="V723" s="40">
        <f>SUMIFS(Income_Tracker_Table[Amount Earned],Income_Tracker_Table[Date Received],"&gt;="&amp;T723,Income_Tracker_Table[Date Received],"&lt;="&amp;U723)</f>
        <v>0</v>
      </c>
    </row>
    <row r="724" spans="20:22" x14ac:dyDescent="0.3">
      <c r="T724" s="39">
        <v>65412</v>
      </c>
      <c r="U724" s="39">
        <f t="shared" si="12"/>
        <v>65439</v>
      </c>
      <c r="V724" s="40">
        <f>SUMIFS(Income_Tracker_Table[Amount Earned],Income_Tracker_Table[Date Received],"&gt;="&amp;T724,Income_Tracker_Table[Date Received],"&lt;="&amp;U724)</f>
        <v>0</v>
      </c>
    </row>
    <row r="725" spans="20:22" x14ac:dyDescent="0.3">
      <c r="T725" s="39">
        <v>65440</v>
      </c>
      <c r="U725" s="39">
        <f t="shared" si="12"/>
        <v>65470</v>
      </c>
      <c r="V725" s="40">
        <f>SUMIFS(Income_Tracker_Table[Amount Earned],Income_Tracker_Table[Date Received],"&gt;="&amp;T725,Income_Tracker_Table[Date Received],"&lt;="&amp;U725)</f>
        <v>0</v>
      </c>
    </row>
    <row r="726" spans="20:22" x14ac:dyDescent="0.3">
      <c r="T726" s="39">
        <v>65471</v>
      </c>
      <c r="U726" s="39">
        <f t="shared" si="12"/>
        <v>65500</v>
      </c>
      <c r="V726" s="40">
        <f>SUMIFS(Income_Tracker_Table[Amount Earned],Income_Tracker_Table[Date Received],"&gt;="&amp;T726,Income_Tracker_Table[Date Received],"&lt;="&amp;U726)</f>
        <v>0</v>
      </c>
    </row>
    <row r="727" spans="20:22" x14ac:dyDescent="0.3">
      <c r="T727" s="39">
        <v>65501</v>
      </c>
      <c r="U727" s="39">
        <f t="shared" si="12"/>
        <v>65531</v>
      </c>
      <c r="V727" s="40">
        <f>SUMIFS(Income_Tracker_Table[Amount Earned],Income_Tracker_Table[Date Received],"&gt;="&amp;T727,Income_Tracker_Table[Date Received],"&lt;="&amp;U727)</f>
        <v>0</v>
      </c>
    </row>
    <row r="728" spans="20:22" x14ac:dyDescent="0.3">
      <c r="T728" s="39">
        <v>65532</v>
      </c>
      <c r="U728" s="39">
        <f t="shared" si="12"/>
        <v>65561</v>
      </c>
      <c r="V728" s="40">
        <f>SUMIFS(Income_Tracker_Table[Amount Earned],Income_Tracker_Table[Date Received],"&gt;="&amp;T728,Income_Tracker_Table[Date Received],"&lt;="&amp;U728)</f>
        <v>0</v>
      </c>
    </row>
    <row r="729" spans="20:22" x14ac:dyDescent="0.3">
      <c r="T729" s="39">
        <v>65562</v>
      </c>
      <c r="U729" s="39">
        <f t="shared" si="12"/>
        <v>65592</v>
      </c>
      <c r="V729" s="40">
        <f>SUMIFS(Income_Tracker_Table[Amount Earned],Income_Tracker_Table[Date Received],"&gt;="&amp;T729,Income_Tracker_Table[Date Received],"&lt;="&amp;U729)</f>
        <v>0</v>
      </c>
    </row>
    <row r="730" spans="20:22" x14ac:dyDescent="0.3">
      <c r="T730" s="39">
        <v>65593</v>
      </c>
      <c r="U730" s="39">
        <f t="shared" si="12"/>
        <v>65623</v>
      </c>
      <c r="V730" s="40">
        <f>SUMIFS(Income_Tracker_Table[Amount Earned],Income_Tracker_Table[Date Received],"&gt;="&amp;T730,Income_Tracker_Table[Date Received],"&lt;="&amp;U730)</f>
        <v>0</v>
      </c>
    </row>
    <row r="731" spans="20:22" x14ac:dyDescent="0.3">
      <c r="T731" s="39">
        <v>65624</v>
      </c>
      <c r="U731" s="39">
        <f t="shared" si="12"/>
        <v>65653</v>
      </c>
      <c r="V731" s="40">
        <f>SUMIFS(Income_Tracker_Table[Amount Earned],Income_Tracker_Table[Date Received],"&gt;="&amp;T731,Income_Tracker_Table[Date Received],"&lt;="&amp;U731)</f>
        <v>0</v>
      </c>
    </row>
    <row r="732" spans="20:22" x14ac:dyDescent="0.3">
      <c r="T732" s="39">
        <v>65654</v>
      </c>
      <c r="U732" s="39">
        <f t="shared" si="12"/>
        <v>65684</v>
      </c>
      <c r="V732" s="40">
        <f>SUMIFS(Income_Tracker_Table[Amount Earned],Income_Tracker_Table[Date Received],"&gt;="&amp;T732,Income_Tracker_Table[Date Received],"&lt;="&amp;U732)</f>
        <v>0</v>
      </c>
    </row>
    <row r="733" spans="20:22" x14ac:dyDescent="0.3">
      <c r="T733" s="39">
        <v>65685</v>
      </c>
      <c r="U733" s="39">
        <f t="shared" si="12"/>
        <v>65714</v>
      </c>
      <c r="V733" s="40">
        <f>SUMIFS(Income_Tracker_Table[Amount Earned],Income_Tracker_Table[Date Received],"&gt;="&amp;T733,Income_Tracker_Table[Date Received],"&lt;="&amp;U733)</f>
        <v>0</v>
      </c>
    </row>
    <row r="734" spans="20:22" x14ac:dyDescent="0.3">
      <c r="T734" s="39">
        <v>65715</v>
      </c>
      <c r="U734" s="39">
        <f t="shared" si="12"/>
        <v>65745</v>
      </c>
      <c r="V734" s="40">
        <f>SUMIFS(Income_Tracker_Table[Amount Earned],Income_Tracker_Table[Date Received],"&gt;="&amp;T734,Income_Tracker_Table[Date Received],"&lt;="&amp;U734)</f>
        <v>0</v>
      </c>
    </row>
    <row r="735" spans="20:22" x14ac:dyDescent="0.3">
      <c r="T735" s="39">
        <v>65746</v>
      </c>
      <c r="U735" s="39">
        <f t="shared" si="12"/>
        <v>65776</v>
      </c>
      <c r="V735" s="40">
        <f>SUMIFS(Income_Tracker_Table[Amount Earned],Income_Tracker_Table[Date Received],"&gt;="&amp;T735,Income_Tracker_Table[Date Received],"&lt;="&amp;U735)</f>
        <v>0</v>
      </c>
    </row>
    <row r="736" spans="20:22" x14ac:dyDescent="0.3">
      <c r="T736" s="39">
        <v>65777</v>
      </c>
      <c r="U736" s="39">
        <f t="shared" si="12"/>
        <v>65805</v>
      </c>
      <c r="V736" s="40">
        <f>SUMIFS(Income_Tracker_Table[Amount Earned],Income_Tracker_Table[Date Received],"&gt;="&amp;T736,Income_Tracker_Table[Date Received],"&lt;="&amp;U736)</f>
        <v>0</v>
      </c>
    </row>
    <row r="737" spans="20:22" x14ac:dyDescent="0.3">
      <c r="T737" s="39">
        <v>65806</v>
      </c>
      <c r="U737" s="39">
        <f t="shared" si="12"/>
        <v>65836</v>
      </c>
      <c r="V737" s="40">
        <f>SUMIFS(Income_Tracker_Table[Amount Earned],Income_Tracker_Table[Date Received],"&gt;="&amp;T737,Income_Tracker_Table[Date Received],"&lt;="&amp;U737)</f>
        <v>0</v>
      </c>
    </row>
    <row r="738" spans="20:22" x14ac:dyDescent="0.3">
      <c r="T738" s="39">
        <v>65837</v>
      </c>
      <c r="U738" s="39">
        <f t="shared" si="12"/>
        <v>65866</v>
      </c>
      <c r="V738" s="40">
        <f>SUMIFS(Income_Tracker_Table[Amount Earned],Income_Tracker_Table[Date Received],"&gt;="&amp;T738,Income_Tracker_Table[Date Received],"&lt;="&amp;U738)</f>
        <v>0</v>
      </c>
    </row>
    <row r="739" spans="20:22" x14ac:dyDescent="0.3">
      <c r="T739" s="39">
        <v>65867</v>
      </c>
      <c r="U739" s="39">
        <f t="shared" si="12"/>
        <v>65897</v>
      </c>
      <c r="V739" s="40">
        <f>SUMIFS(Income_Tracker_Table[Amount Earned],Income_Tracker_Table[Date Received],"&gt;="&amp;T739,Income_Tracker_Table[Date Received],"&lt;="&amp;U739)</f>
        <v>0</v>
      </c>
    </row>
    <row r="740" spans="20:22" x14ac:dyDescent="0.3">
      <c r="T740" s="39">
        <v>65898</v>
      </c>
      <c r="U740" s="39">
        <f t="shared" si="12"/>
        <v>65927</v>
      </c>
      <c r="V740" s="40">
        <f>SUMIFS(Income_Tracker_Table[Amount Earned],Income_Tracker_Table[Date Received],"&gt;="&amp;T740,Income_Tracker_Table[Date Received],"&lt;="&amp;U740)</f>
        <v>0</v>
      </c>
    </row>
    <row r="741" spans="20:22" x14ac:dyDescent="0.3">
      <c r="T741" s="39">
        <v>65928</v>
      </c>
      <c r="U741" s="39">
        <f t="shared" si="12"/>
        <v>65958</v>
      </c>
      <c r="V741" s="40">
        <f>SUMIFS(Income_Tracker_Table[Amount Earned],Income_Tracker_Table[Date Received],"&gt;="&amp;T741,Income_Tracker_Table[Date Received],"&lt;="&amp;U741)</f>
        <v>0</v>
      </c>
    </row>
    <row r="742" spans="20:22" x14ac:dyDescent="0.3">
      <c r="T742" s="39">
        <v>65959</v>
      </c>
      <c r="U742" s="39">
        <f t="shared" si="12"/>
        <v>65989</v>
      </c>
      <c r="V742" s="40">
        <f>SUMIFS(Income_Tracker_Table[Amount Earned],Income_Tracker_Table[Date Received],"&gt;="&amp;T742,Income_Tracker_Table[Date Received],"&lt;="&amp;U742)</f>
        <v>0</v>
      </c>
    </row>
    <row r="743" spans="20:22" x14ac:dyDescent="0.3">
      <c r="T743" s="39">
        <v>65990</v>
      </c>
      <c r="U743" s="39">
        <f t="shared" si="12"/>
        <v>66019</v>
      </c>
      <c r="V743" s="40">
        <f>SUMIFS(Income_Tracker_Table[Amount Earned],Income_Tracker_Table[Date Received],"&gt;="&amp;T743,Income_Tracker_Table[Date Received],"&lt;="&amp;U743)</f>
        <v>0</v>
      </c>
    </row>
    <row r="744" spans="20:22" x14ac:dyDescent="0.3">
      <c r="T744" s="39">
        <v>66020</v>
      </c>
      <c r="U744" s="39">
        <f t="shared" si="12"/>
        <v>66050</v>
      </c>
      <c r="V744" s="40">
        <f>SUMIFS(Income_Tracker_Table[Amount Earned],Income_Tracker_Table[Date Received],"&gt;="&amp;T744,Income_Tracker_Table[Date Received],"&lt;="&amp;U744)</f>
        <v>0</v>
      </c>
    </row>
    <row r="745" spans="20:22" x14ac:dyDescent="0.3">
      <c r="T745" s="39">
        <v>66051</v>
      </c>
      <c r="U745" s="39">
        <f t="shared" si="12"/>
        <v>66080</v>
      </c>
      <c r="V745" s="40">
        <f>SUMIFS(Income_Tracker_Table[Amount Earned],Income_Tracker_Table[Date Received],"&gt;="&amp;T745,Income_Tracker_Table[Date Received],"&lt;="&amp;U745)</f>
        <v>0</v>
      </c>
    </row>
    <row r="746" spans="20:22" x14ac:dyDescent="0.3">
      <c r="T746" s="39">
        <v>66081</v>
      </c>
      <c r="U746" s="39">
        <f t="shared" si="12"/>
        <v>66111</v>
      </c>
      <c r="V746" s="40">
        <f>SUMIFS(Income_Tracker_Table[Amount Earned],Income_Tracker_Table[Date Received],"&gt;="&amp;T746,Income_Tracker_Table[Date Received],"&lt;="&amp;U746)</f>
        <v>0</v>
      </c>
    </row>
    <row r="747" spans="20:22" x14ac:dyDescent="0.3">
      <c r="T747" s="39">
        <v>66112</v>
      </c>
      <c r="U747" s="39">
        <f t="shared" si="12"/>
        <v>66142</v>
      </c>
      <c r="V747" s="40">
        <f>SUMIFS(Income_Tracker_Table[Amount Earned],Income_Tracker_Table[Date Received],"&gt;="&amp;T747,Income_Tracker_Table[Date Received],"&lt;="&amp;U747)</f>
        <v>0</v>
      </c>
    </row>
    <row r="748" spans="20:22" x14ac:dyDescent="0.3">
      <c r="T748" s="39">
        <v>66143</v>
      </c>
      <c r="U748" s="39">
        <f t="shared" si="12"/>
        <v>66170</v>
      </c>
      <c r="V748" s="40">
        <f>SUMIFS(Income_Tracker_Table[Amount Earned],Income_Tracker_Table[Date Received],"&gt;="&amp;T748,Income_Tracker_Table[Date Received],"&lt;="&amp;U748)</f>
        <v>0</v>
      </c>
    </row>
    <row r="749" spans="20:22" x14ac:dyDescent="0.3">
      <c r="T749" s="39">
        <v>66171</v>
      </c>
      <c r="U749" s="39">
        <f t="shared" si="12"/>
        <v>66201</v>
      </c>
      <c r="V749" s="40">
        <f>SUMIFS(Income_Tracker_Table[Amount Earned],Income_Tracker_Table[Date Received],"&gt;="&amp;T749,Income_Tracker_Table[Date Received],"&lt;="&amp;U749)</f>
        <v>0</v>
      </c>
    </row>
    <row r="750" spans="20:22" x14ac:dyDescent="0.3">
      <c r="T750" s="39">
        <v>66202</v>
      </c>
      <c r="U750" s="39">
        <f t="shared" si="12"/>
        <v>66231</v>
      </c>
      <c r="V750" s="40">
        <f>SUMIFS(Income_Tracker_Table[Amount Earned],Income_Tracker_Table[Date Received],"&gt;="&amp;T750,Income_Tracker_Table[Date Received],"&lt;="&amp;U750)</f>
        <v>0</v>
      </c>
    </row>
    <row r="751" spans="20:22" x14ac:dyDescent="0.3">
      <c r="T751" s="39">
        <v>66232</v>
      </c>
      <c r="U751" s="39">
        <f t="shared" si="12"/>
        <v>66262</v>
      </c>
      <c r="V751" s="40">
        <f>SUMIFS(Income_Tracker_Table[Amount Earned],Income_Tracker_Table[Date Received],"&gt;="&amp;T751,Income_Tracker_Table[Date Received],"&lt;="&amp;U751)</f>
        <v>0</v>
      </c>
    </row>
    <row r="752" spans="20:22" x14ac:dyDescent="0.3">
      <c r="T752" s="39">
        <v>66263</v>
      </c>
      <c r="U752" s="39">
        <f t="shared" si="12"/>
        <v>66292</v>
      </c>
      <c r="V752" s="40">
        <f>SUMIFS(Income_Tracker_Table[Amount Earned],Income_Tracker_Table[Date Received],"&gt;="&amp;T752,Income_Tracker_Table[Date Received],"&lt;="&amp;U752)</f>
        <v>0</v>
      </c>
    </row>
    <row r="753" spans="20:22" x14ac:dyDescent="0.3">
      <c r="T753" s="39">
        <v>66293</v>
      </c>
      <c r="U753" s="39">
        <f t="shared" si="12"/>
        <v>66323</v>
      </c>
      <c r="V753" s="40">
        <f>SUMIFS(Income_Tracker_Table[Amount Earned],Income_Tracker_Table[Date Received],"&gt;="&amp;T753,Income_Tracker_Table[Date Received],"&lt;="&amp;U753)</f>
        <v>0</v>
      </c>
    </row>
    <row r="754" spans="20:22" x14ac:dyDescent="0.3">
      <c r="T754" s="39">
        <v>66324</v>
      </c>
      <c r="U754" s="39">
        <f t="shared" si="12"/>
        <v>66354</v>
      </c>
      <c r="V754" s="40">
        <f>SUMIFS(Income_Tracker_Table[Amount Earned],Income_Tracker_Table[Date Received],"&gt;="&amp;T754,Income_Tracker_Table[Date Received],"&lt;="&amp;U754)</f>
        <v>0</v>
      </c>
    </row>
    <row r="755" spans="20:22" x14ac:dyDescent="0.3">
      <c r="T755" s="39">
        <v>66355</v>
      </c>
      <c r="U755" s="39">
        <f t="shared" si="12"/>
        <v>66384</v>
      </c>
      <c r="V755" s="40">
        <f>SUMIFS(Income_Tracker_Table[Amount Earned],Income_Tracker_Table[Date Received],"&gt;="&amp;T755,Income_Tracker_Table[Date Received],"&lt;="&amp;U755)</f>
        <v>0</v>
      </c>
    </row>
    <row r="756" spans="20:22" x14ac:dyDescent="0.3">
      <c r="T756" s="39">
        <v>66385</v>
      </c>
      <c r="U756" s="39">
        <f t="shared" si="12"/>
        <v>66415</v>
      </c>
      <c r="V756" s="40">
        <f>SUMIFS(Income_Tracker_Table[Amount Earned],Income_Tracker_Table[Date Received],"&gt;="&amp;T756,Income_Tracker_Table[Date Received],"&lt;="&amp;U756)</f>
        <v>0</v>
      </c>
    </row>
    <row r="757" spans="20:22" x14ac:dyDescent="0.3">
      <c r="T757" s="39">
        <v>66416</v>
      </c>
      <c r="U757" s="39">
        <f t="shared" si="12"/>
        <v>66445</v>
      </c>
      <c r="V757" s="40">
        <f>SUMIFS(Income_Tracker_Table[Amount Earned],Income_Tracker_Table[Date Received],"&gt;="&amp;T757,Income_Tracker_Table[Date Received],"&lt;="&amp;U757)</f>
        <v>0</v>
      </c>
    </row>
    <row r="758" spans="20:22" x14ac:dyDescent="0.3">
      <c r="T758" s="39">
        <v>66446</v>
      </c>
      <c r="U758" s="39">
        <f t="shared" si="12"/>
        <v>66476</v>
      </c>
      <c r="V758" s="40">
        <f>SUMIFS(Income_Tracker_Table[Amount Earned],Income_Tracker_Table[Date Received],"&gt;="&amp;T758,Income_Tracker_Table[Date Received],"&lt;="&amp;U758)</f>
        <v>0</v>
      </c>
    </row>
    <row r="759" spans="20:22" x14ac:dyDescent="0.3">
      <c r="T759" s="39">
        <v>66477</v>
      </c>
      <c r="U759" s="39">
        <f t="shared" si="12"/>
        <v>66507</v>
      </c>
      <c r="V759" s="40">
        <f>SUMIFS(Income_Tracker_Table[Amount Earned],Income_Tracker_Table[Date Received],"&gt;="&amp;T759,Income_Tracker_Table[Date Received],"&lt;="&amp;U759)</f>
        <v>0</v>
      </c>
    </row>
    <row r="760" spans="20:22" x14ac:dyDescent="0.3">
      <c r="T760" s="39">
        <v>66508</v>
      </c>
      <c r="U760" s="39">
        <f t="shared" si="12"/>
        <v>66535</v>
      </c>
      <c r="V760" s="40">
        <f>SUMIFS(Income_Tracker_Table[Amount Earned],Income_Tracker_Table[Date Received],"&gt;="&amp;T760,Income_Tracker_Table[Date Received],"&lt;="&amp;U760)</f>
        <v>0</v>
      </c>
    </row>
    <row r="761" spans="20:22" x14ac:dyDescent="0.3">
      <c r="T761" s="39">
        <v>66536</v>
      </c>
      <c r="U761" s="39">
        <f t="shared" si="12"/>
        <v>66566</v>
      </c>
      <c r="V761" s="40">
        <f>SUMIFS(Income_Tracker_Table[Amount Earned],Income_Tracker_Table[Date Received],"&gt;="&amp;T761,Income_Tracker_Table[Date Received],"&lt;="&amp;U761)</f>
        <v>0</v>
      </c>
    </row>
    <row r="762" spans="20:22" x14ac:dyDescent="0.3">
      <c r="T762" s="39">
        <v>66567</v>
      </c>
      <c r="U762" s="39">
        <f t="shared" si="12"/>
        <v>66596</v>
      </c>
      <c r="V762" s="40">
        <f>SUMIFS(Income_Tracker_Table[Amount Earned],Income_Tracker_Table[Date Received],"&gt;="&amp;T762,Income_Tracker_Table[Date Received],"&lt;="&amp;U762)</f>
        <v>0</v>
      </c>
    </row>
    <row r="763" spans="20:22" x14ac:dyDescent="0.3">
      <c r="T763" s="39">
        <v>66597</v>
      </c>
      <c r="U763" s="39">
        <f t="shared" si="12"/>
        <v>66627</v>
      </c>
      <c r="V763" s="40">
        <f>SUMIFS(Income_Tracker_Table[Amount Earned],Income_Tracker_Table[Date Received],"&gt;="&amp;T763,Income_Tracker_Table[Date Received],"&lt;="&amp;U763)</f>
        <v>0</v>
      </c>
    </row>
    <row r="764" spans="20:22" x14ac:dyDescent="0.3">
      <c r="T764" s="39">
        <v>66628</v>
      </c>
      <c r="U764" s="39">
        <f t="shared" si="12"/>
        <v>66657</v>
      </c>
      <c r="V764" s="40">
        <f>SUMIFS(Income_Tracker_Table[Amount Earned],Income_Tracker_Table[Date Received],"&gt;="&amp;T764,Income_Tracker_Table[Date Received],"&lt;="&amp;U764)</f>
        <v>0</v>
      </c>
    </row>
    <row r="765" spans="20:22" x14ac:dyDescent="0.3">
      <c r="T765" s="39">
        <v>66658</v>
      </c>
      <c r="U765" s="39">
        <f t="shared" si="12"/>
        <v>66688</v>
      </c>
      <c r="V765" s="40">
        <f>SUMIFS(Income_Tracker_Table[Amount Earned],Income_Tracker_Table[Date Received],"&gt;="&amp;T765,Income_Tracker_Table[Date Received],"&lt;="&amp;U765)</f>
        <v>0</v>
      </c>
    </row>
    <row r="766" spans="20:22" x14ac:dyDescent="0.3">
      <c r="T766" s="39">
        <v>66689</v>
      </c>
      <c r="U766" s="39">
        <f t="shared" si="12"/>
        <v>66719</v>
      </c>
      <c r="V766" s="40">
        <f>SUMIFS(Income_Tracker_Table[Amount Earned],Income_Tracker_Table[Date Received],"&gt;="&amp;T766,Income_Tracker_Table[Date Received],"&lt;="&amp;U766)</f>
        <v>0</v>
      </c>
    </row>
    <row r="767" spans="20:22" x14ac:dyDescent="0.3">
      <c r="T767" s="39">
        <v>66720</v>
      </c>
      <c r="U767" s="39">
        <f t="shared" si="12"/>
        <v>66749</v>
      </c>
      <c r="V767" s="40">
        <f>SUMIFS(Income_Tracker_Table[Amount Earned],Income_Tracker_Table[Date Received],"&gt;="&amp;T767,Income_Tracker_Table[Date Received],"&lt;="&amp;U767)</f>
        <v>0</v>
      </c>
    </row>
    <row r="768" spans="20:22" x14ac:dyDescent="0.3">
      <c r="T768" s="39">
        <v>66750</v>
      </c>
      <c r="U768" s="39">
        <f t="shared" si="12"/>
        <v>66780</v>
      </c>
      <c r="V768" s="40">
        <f>SUMIFS(Income_Tracker_Table[Amount Earned],Income_Tracker_Table[Date Received],"&gt;="&amp;T768,Income_Tracker_Table[Date Received],"&lt;="&amp;U768)</f>
        <v>0</v>
      </c>
    </row>
    <row r="769" spans="20:22" x14ac:dyDescent="0.3">
      <c r="T769" s="39">
        <v>66781</v>
      </c>
      <c r="U769" s="39">
        <f t="shared" si="12"/>
        <v>66810</v>
      </c>
      <c r="V769" s="40">
        <f>SUMIFS(Income_Tracker_Table[Amount Earned],Income_Tracker_Table[Date Received],"&gt;="&amp;T769,Income_Tracker_Table[Date Received],"&lt;="&amp;U769)</f>
        <v>0</v>
      </c>
    </row>
    <row r="770" spans="20:22" x14ac:dyDescent="0.3">
      <c r="T770" s="39">
        <v>66811</v>
      </c>
      <c r="U770" s="39">
        <f t="shared" si="12"/>
        <v>66841</v>
      </c>
      <c r="V770" s="40">
        <f>SUMIFS(Income_Tracker_Table[Amount Earned],Income_Tracker_Table[Date Received],"&gt;="&amp;T770,Income_Tracker_Table[Date Received],"&lt;="&amp;U770)</f>
        <v>0</v>
      </c>
    </row>
    <row r="771" spans="20:22" x14ac:dyDescent="0.3">
      <c r="T771" s="39">
        <v>66842</v>
      </c>
      <c r="U771" s="39">
        <f t="shared" si="12"/>
        <v>66872</v>
      </c>
      <c r="V771" s="40">
        <f>SUMIFS(Income_Tracker_Table[Amount Earned],Income_Tracker_Table[Date Received],"&gt;="&amp;T771,Income_Tracker_Table[Date Received],"&lt;="&amp;U771)</f>
        <v>0</v>
      </c>
    </row>
    <row r="772" spans="20:22" x14ac:dyDescent="0.3">
      <c r="T772" s="39">
        <v>66873</v>
      </c>
      <c r="U772" s="39">
        <f t="shared" si="12"/>
        <v>66900</v>
      </c>
      <c r="V772" s="40">
        <f>SUMIFS(Income_Tracker_Table[Amount Earned],Income_Tracker_Table[Date Received],"&gt;="&amp;T772,Income_Tracker_Table[Date Received],"&lt;="&amp;U772)</f>
        <v>0</v>
      </c>
    </row>
    <row r="773" spans="20:22" x14ac:dyDescent="0.3">
      <c r="T773" s="39">
        <v>66901</v>
      </c>
      <c r="U773" s="39">
        <f t="shared" si="12"/>
        <v>66931</v>
      </c>
      <c r="V773" s="40">
        <f>SUMIFS(Income_Tracker_Table[Amount Earned],Income_Tracker_Table[Date Received],"&gt;="&amp;T773,Income_Tracker_Table[Date Received],"&lt;="&amp;U773)</f>
        <v>0</v>
      </c>
    </row>
    <row r="774" spans="20:22" x14ac:dyDescent="0.3">
      <c r="T774" s="39">
        <v>66932</v>
      </c>
      <c r="U774" s="39">
        <f t="shared" si="12"/>
        <v>66961</v>
      </c>
      <c r="V774" s="40">
        <f>SUMIFS(Income_Tracker_Table[Amount Earned],Income_Tracker_Table[Date Received],"&gt;="&amp;T774,Income_Tracker_Table[Date Received],"&lt;="&amp;U774)</f>
        <v>0</v>
      </c>
    </row>
    <row r="775" spans="20:22" x14ac:dyDescent="0.3">
      <c r="T775" s="39">
        <v>66962</v>
      </c>
      <c r="U775" s="39">
        <f t="shared" si="12"/>
        <v>66992</v>
      </c>
      <c r="V775" s="40">
        <f>SUMIFS(Income_Tracker_Table[Amount Earned],Income_Tracker_Table[Date Received],"&gt;="&amp;T775,Income_Tracker_Table[Date Received],"&lt;="&amp;U775)</f>
        <v>0</v>
      </c>
    </row>
    <row r="776" spans="20:22" x14ac:dyDescent="0.3">
      <c r="T776" s="39">
        <v>66993</v>
      </c>
      <c r="U776" s="39">
        <f t="shared" si="12"/>
        <v>67022</v>
      </c>
      <c r="V776" s="40">
        <f>SUMIFS(Income_Tracker_Table[Amount Earned],Income_Tracker_Table[Date Received],"&gt;="&amp;T776,Income_Tracker_Table[Date Received],"&lt;="&amp;U776)</f>
        <v>0</v>
      </c>
    </row>
    <row r="777" spans="20:22" x14ac:dyDescent="0.3">
      <c r="T777" s="39">
        <v>67023</v>
      </c>
      <c r="U777" s="39">
        <f t="shared" ref="U777:U840" si="13">EOMONTH(T777,0)</f>
        <v>67053</v>
      </c>
      <c r="V777" s="40">
        <f>SUMIFS(Income_Tracker_Table[Amount Earned],Income_Tracker_Table[Date Received],"&gt;="&amp;T777,Income_Tracker_Table[Date Received],"&lt;="&amp;U777)</f>
        <v>0</v>
      </c>
    </row>
    <row r="778" spans="20:22" x14ac:dyDescent="0.3">
      <c r="T778" s="39">
        <v>67054</v>
      </c>
      <c r="U778" s="39">
        <f t="shared" si="13"/>
        <v>67084</v>
      </c>
      <c r="V778" s="40">
        <f>SUMIFS(Income_Tracker_Table[Amount Earned],Income_Tracker_Table[Date Received],"&gt;="&amp;T778,Income_Tracker_Table[Date Received],"&lt;="&amp;U778)</f>
        <v>0</v>
      </c>
    </row>
    <row r="779" spans="20:22" x14ac:dyDescent="0.3">
      <c r="T779" s="39">
        <v>67085</v>
      </c>
      <c r="U779" s="39">
        <f t="shared" si="13"/>
        <v>67114</v>
      </c>
      <c r="V779" s="40">
        <f>SUMIFS(Income_Tracker_Table[Amount Earned],Income_Tracker_Table[Date Received],"&gt;="&amp;T779,Income_Tracker_Table[Date Received],"&lt;="&amp;U779)</f>
        <v>0</v>
      </c>
    </row>
    <row r="780" spans="20:22" x14ac:dyDescent="0.3">
      <c r="T780" s="39">
        <v>67115</v>
      </c>
      <c r="U780" s="39">
        <f t="shared" si="13"/>
        <v>67145</v>
      </c>
      <c r="V780" s="40">
        <f>SUMIFS(Income_Tracker_Table[Amount Earned],Income_Tracker_Table[Date Received],"&gt;="&amp;T780,Income_Tracker_Table[Date Received],"&lt;="&amp;U780)</f>
        <v>0</v>
      </c>
    </row>
    <row r="781" spans="20:22" x14ac:dyDescent="0.3">
      <c r="T781" s="39">
        <v>67146</v>
      </c>
      <c r="U781" s="39">
        <f t="shared" si="13"/>
        <v>67175</v>
      </c>
      <c r="V781" s="40">
        <f>SUMIFS(Income_Tracker_Table[Amount Earned],Income_Tracker_Table[Date Received],"&gt;="&amp;T781,Income_Tracker_Table[Date Received],"&lt;="&amp;U781)</f>
        <v>0</v>
      </c>
    </row>
    <row r="782" spans="20:22" x14ac:dyDescent="0.3">
      <c r="T782" s="39">
        <v>67176</v>
      </c>
      <c r="U782" s="39">
        <f t="shared" si="13"/>
        <v>67206</v>
      </c>
      <c r="V782" s="40">
        <f>SUMIFS(Income_Tracker_Table[Amount Earned],Income_Tracker_Table[Date Received],"&gt;="&amp;T782,Income_Tracker_Table[Date Received],"&lt;="&amp;U782)</f>
        <v>0</v>
      </c>
    </row>
    <row r="783" spans="20:22" x14ac:dyDescent="0.3">
      <c r="T783" s="39">
        <v>67207</v>
      </c>
      <c r="U783" s="39">
        <f t="shared" si="13"/>
        <v>67237</v>
      </c>
      <c r="V783" s="40">
        <f>SUMIFS(Income_Tracker_Table[Amount Earned],Income_Tracker_Table[Date Received],"&gt;="&amp;T783,Income_Tracker_Table[Date Received],"&lt;="&amp;U783)</f>
        <v>0</v>
      </c>
    </row>
    <row r="784" spans="20:22" x14ac:dyDescent="0.3">
      <c r="T784" s="39">
        <v>67238</v>
      </c>
      <c r="U784" s="39">
        <f t="shared" si="13"/>
        <v>67266</v>
      </c>
      <c r="V784" s="40">
        <f>SUMIFS(Income_Tracker_Table[Amount Earned],Income_Tracker_Table[Date Received],"&gt;="&amp;T784,Income_Tracker_Table[Date Received],"&lt;="&amp;U784)</f>
        <v>0</v>
      </c>
    </row>
    <row r="785" spans="20:22" x14ac:dyDescent="0.3">
      <c r="T785" s="39">
        <v>67267</v>
      </c>
      <c r="U785" s="39">
        <f t="shared" si="13"/>
        <v>67297</v>
      </c>
      <c r="V785" s="40">
        <f>SUMIFS(Income_Tracker_Table[Amount Earned],Income_Tracker_Table[Date Received],"&gt;="&amp;T785,Income_Tracker_Table[Date Received],"&lt;="&amp;U785)</f>
        <v>0</v>
      </c>
    </row>
    <row r="786" spans="20:22" x14ac:dyDescent="0.3">
      <c r="T786" s="39">
        <v>67298</v>
      </c>
      <c r="U786" s="39">
        <f t="shared" si="13"/>
        <v>67327</v>
      </c>
      <c r="V786" s="40">
        <f>SUMIFS(Income_Tracker_Table[Amount Earned],Income_Tracker_Table[Date Received],"&gt;="&amp;T786,Income_Tracker_Table[Date Received],"&lt;="&amp;U786)</f>
        <v>0</v>
      </c>
    </row>
    <row r="787" spans="20:22" x14ac:dyDescent="0.3">
      <c r="T787" s="39">
        <v>67328</v>
      </c>
      <c r="U787" s="39">
        <f t="shared" si="13"/>
        <v>67358</v>
      </c>
      <c r="V787" s="40">
        <f>SUMIFS(Income_Tracker_Table[Amount Earned],Income_Tracker_Table[Date Received],"&gt;="&amp;T787,Income_Tracker_Table[Date Received],"&lt;="&amp;U787)</f>
        <v>0</v>
      </c>
    </row>
    <row r="788" spans="20:22" x14ac:dyDescent="0.3">
      <c r="T788" s="39">
        <v>67359</v>
      </c>
      <c r="U788" s="39">
        <f t="shared" si="13"/>
        <v>67388</v>
      </c>
      <c r="V788" s="40">
        <f>SUMIFS(Income_Tracker_Table[Amount Earned],Income_Tracker_Table[Date Received],"&gt;="&amp;T788,Income_Tracker_Table[Date Received],"&lt;="&amp;U788)</f>
        <v>0</v>
      </c>
    </row>
    <row r="789" spans="20:22" x14ac:dyDescent="0.3">
      <c r="T789" s="39">
        <v>67389</v>
      </c>
      <c r="U789" s="39">
        <f t="shared" si="13"/>
        <v>67419</v>
      </c>
      <c r="V789" s="40">
        <f>SUMIFS(Income_Tracker_Table[Amount Earned],Income_Tracker_Table[Date Received],"&gt;="&amp;T789,Income_Tracker_Table[Date Received],"&lt;="&amp;U789)</f>
        <v>0</v>
      </c>
    </row>
    <row r="790" spans="20:22" x14ac:dyDescent="0.3">
      <c r="T790" s="39">
        <v>67420</v>
      </c>
      <c r="U790" s="39">
        <f t="shared" si="13"/>
        <v>67450</v>
      </c>
      <c r="V790" s="40">
        <f>SUMIFS(Income_Tracker_Table[Amount Earned],Income_Tracker_Table[Date Received],"&gt;="&amp;T790,Income_Tracker_Table[Date Received],"&lt;="&amp;U790)</f>
        <v>0</v>
      </c>
    </row>
    <row r="791" spans="20:22" x14ac:dyDescent="0.3">
      <c r="T791" s="39">
        <v>67451</v>
      </c>
      <c r="U791" s="39">
        <f t="shared" si="13"/>
        <v>67480</v>
      </c>
      <c r="V791" s="40">
        <f>SUMIFS(Income_Tracker_Table[Amount Earned],Income_Tracker_Table[Date Received],"&gt;="&amp;T791,Income_Tracker_Table[Date Received],"&lt;="&amp;U791)</f>
        <v>0</v>
      </c>
    </row>
    <row r="792" spans="20:22" x14ac:dyDescent="0.3">
      <c r="T792" s="39">
        <v>67481</v>
      </c>
      <c r="U792" s="39">
        <f t="shared" si="13"/>
        <v>67511</v>
      </c>
      <c r="V792" s="40">
        <f>SUMIFS(Income_Tracker_Table[Amount Earned],Income_Tracker_Table[Date Received],"&gt;="&amp;T792,Income_Tracker_Table[Date Received],"&lt;="&amp;U792)</f>
        <v>0</v>
      </c>
    </row>
    <row r="793" spans="20:22" x14ac:dyDescent="0.3">
      <c r="T793" s="39">
        <v>67512</v>
      </c>
      <c r="U793" s="39">
        <f t="shared" si="13"/>
        <v>67541</v>
      </c>
      <c r="V793" s="40">
        <f>SUMIFS(Income_Tracker_Table[Amount Earned],Income_Tracker_Table[Date Received],"&gt;="&amp;T793,Income_Tracker_Table[Date Received],"&lt;="&amp;U793)</f>
        <v>0</v>
      </c>
    </row>
    <row r="794" spans="20:22" x14ac:dyDescent="0.3">
      <c r="T794" s="39">
        <v>67542</v>
      </c>
      <c r="U794" s="39">
        <f t="shared" si="13"/>
        <v>67572</v>
      </c>
      <c r="V794" s="40">
        <f>SUMIFS(Income_Tracker_Table[Amount Earned],Income_Tracker_Table[Date Received],"&gt;="&amp;T794,Income_Tracker_Table[Date Received],"&lt;="&amp;U794)</f>
        <v>0</v>
      </c>
    </row>
    <row r="795" spans="20:22" x14ac:dyDescent="0.3">
      <c r="T795" s="39">
        <v>67573</v>
      </c>
      <c r="U795" s="39">
        <f t="shared" si="13"/>
        <v>67603</v>
      </c>
      <c r="V795" s="40">
        <f>SUMIFS(Income_Tracker_Table[Amount Earned],Income_Tracker_Table[Date Received],"&gt;="&amp;T795,Income_Tracker_Table[Date Received],"&lt;="&amp;U795)</f>
        <v>0</v>
      </c>
    </row>
    <row r="796" spans="20:22" x14ac:dyDescent="0.3">
      <c r="T796" s="39">
        <v>67604</v>
      </c>
      <c r="U796" s="39">
        <f t="shared" si="13"/>
        <v>67631</v>
      </c>
      <c r="V796" s="40">
        <f>SUMIFS(Income_Tracker_Table[Amount Earned],Income_Tracker_Table[Date Received],"&gt;="&amp;T796,Income_Tracker_Table[Date Received],"&lt;="&amp;U796)</f>
        <v>0</v>
      </c>
    </row>
    <row r="797" spans="20:22" x14ac:dyDescent="0.3">
      <c r="T797" s="39">
        <v>67632</v>
      </c>
      <c r="U797" s="39">
        <f t="shared" si="13"/>
        <v>67662</v>
      </c>
      <c r="V797" s="40">
        <f>SUMIFS(Income_Tracker_Table[Amount Earned],Income_Tracker_Table[Date Received],"&gt;="&amp;T797,Income_Tracker_Table[Date Received],"&lt;="&amp;U797)</f>
        <v>0</v>
      </c>
    </row>
    <row r="798" spans="20:22" x14ac:dyDescent="0.3">
      <c r="T798" s="39">
        <v>67663</v>
      </c>
      <c r="U798" s="39">
        <f t="shared" si="13"/>
        <v>67692</v>
      </c>
      <c r="V798" s="40">
        <f>SUMIFS(Income_Tracker_Table[Amount Earned],Income_Tracker_Table[Date Received],"&gt;="&amp;T798,Income_Tracker_Table[Date Received],"&lt;="&amp;U798)</f>
        <v>0</v>
      </c>
    </row>
    <row r="799" spans="20:22" x14ac:dyDescent="0.3">
      <c r="T799" s="39">
        <v>67693</v>
      </c>
      <c r="U799" s="39">
        <f t="shared" si="13"/>
        <v>67723</v>
      </c>
      <c r="V799" s="40">
        <f>SUMIFS(Income_Tracker_Table[Amount Earned],Income_Tracker_Table[Date Received],"&gt;="&amp;T799,Income_Tracker_Table[Date Received],"&lt;="&amp;U799)</f>
        <v>0</v>
      </c>
    </row>
    <row r="800" spans="20:22" x14ac:dyDescent="0.3">
      <c r="T800" s="39">
        <v>67724</v>
      </c>
      <c r="U800" s="39">
        <f t="shared" si="13"/>
        <v>67753</v>
      </c>
      <c r="V800" s="40">
        <f>SUMIFS(Income_Tracker_Table[Amount Earned],Income_Tracker_Table[Date Received],"&gt;="&amp;T800,Income_Tracker_Table[Date Received],"&lt;="&amp;U800)</f>
        <v>0</v>
      </c>
    </row>
    <row r="801" spans="20:22" x14ac:dyDescent="0.3">
      <c r="T801" s="39">
        <v>67754</v>
      </c>
      <c r="U801" s="39">
        <f t="shared" si="13"/>
        <v>67784</v>
      </c>
      <c r="V801" s="40">
        <f>SUMIFS(Income_Tracker_Table[Amount Earned],Income_Tracker_Table[Date Received],"&gt;="&amp;T801,Income_Tracker_Table[Date Received],"&lt;="&amp;U801)</f>
        <v>0</v>
      </c>
    </row>
    <row r="802" spans="20:22" x14ac:dyDescent="0.3">
      <c r="T802" s="39">
        <v>67785</v>
      </c>
      <c r="U802" s="39">
        <f t="shared" si="13"/>
        <v>67815</v>
      </c>
      <c r="V802" s="40">
        <f>SUMIFS(Income_Tracker_Table[Amount Earned],Income_Tracker_Table[Date Received],"&gt;="&amp;T802,Income_Tracker_Table[Date Received],"&lt;="&amp;U802)</f>
        <v>0</v>
      </c>
    </row>
    <row r="803" spans="20:22" x14ac:dyDescent="0.3">
      <c r="T803" s="39">
        <v>67816</v>
      </c>
      <c r="U803" s="39">
        <f t="shared" si="13"/>
        <v>67845</v>
      </c>
      <c r="V803" s="40">
        <f>SUMIFS(Income_Tracker_Table[Amount Earned],Income_Tracker_Table[Date Received],"&gt;="&amp;T803,Income_Tracker_Table[Date Received],"&lt;="&amp;U803)</f>
        <v>0</v>
      </c>
    </row>
    <row r="804" spans="20:22" x14ac:dyDescent="0.3">
      <c r="T804" s="39">
        <v>67846</v>
      </c>
      <c r="U804" s="39">
        <f t="shared" si="13"/>
        <v>67876</v>
      </c>
      <c r="V804" s="40">
        <f>SUMIFS(Income_Tracker_Table[Amount Earned],Income_Tracker_Table[Date Received],"&gt;="&amp;T804,Income_Tracker_Table[Date Received],"&lt;="&amp;U804)</f>
        <v>0</v>
      </c>
    </row>
    <row r="805" spans="20:22" x14ac:dyDescent="0.3">
      <c r="T805" s="39">
        <v>67877</v>
      </c>
      <c r="U805" s="39">
        <f t="shared" si="13"/>
        <v>67906</v>
      </c>
      <c r="V805" s="40">
        <f>SUMIFS(Income_Tracker_Table[Amount Earned],Income_Tracker_Table[Date Received],"&gt;="&amp;T805,Income_Tracker_Table[Date Received],"&lt;="&amp;U805)</f>
        <v>0</v>
      </c>
    </row>
    <row r="806" spans="20:22" x14ac:dyDescent="0.3">
      <c r="T806" s="39">
        <v>67907</v>
      </c>
      <c r="U806" s="39">
        <f t="shared" si="13"/>
        <v>67937</v>
      </c>
      <c r="V806" s="40">
        <f>SUMIFS(Income_Tracker_Table[Amount Earned],Income_Tracker_Table[Date Received],"&gt;="&amp;T806,Income_Tracker_Table[Date Received],"&lt;="&amp;U806)</f>
        <v>0</v>
      </c>
    </row>
    <row r="807" spans="20:22" x14ac:dyDescent="0.3">
      <c r="T807" s="39">
        <v>67938</v>
      </c>
      <c r="U807" s="39">
        <f t="shared" si="13"/>
        <v>67968</v>
      </c>
      <c r="V807" s="40">
        <f>SUMIFS(Income_Tracker_Table[Amount Earned],Income_Tracker_Table[Date Received],"&gt;="&amp;T807,Income_Tracker_Table[Date Received],"&lt;="&amp;U807)</f>
        <v>0</v>
      </c>
    </row>
    <row r="808" spans="20:22" x14ac:dyDescent="0.3">
      <c r="T808" s="39">
        <v>67969</v>
      </c>
      <c r="U808" s="39">
        <f t="shared" si="13"/>
        <v>67996</v>
      </c>
      <c r="V808" s="40">
        <f>SUMIFS(Income_Tracker_Table[Amount Earned],Income_Tracker_Table[Date Received],"&gt;="&amp;T808,Income_Tracker_Table[Date Received],"&lt;="&amp;U808)</f>
        <v>0</v>
      </c>
    </row>
    <row r="809" spans="20:22" x14ac:dyDescent="0.3">
      <c r="T809" s="39">
        <v>67997</v>
      </c>
      <c r="U809" s="39">
        <f t="shared" si="13"/>
        <v>68027</v>
      </c>
      <c r="V809" s="40">
        <f>SUMIFS(Income_Tracker_Table[Amount Earned],Income_Tracker_Table[Date Received],"&gt;="&amp;T809,Income_Tracker_Table[Date Received],"&lt;="&amp;U809)</f>
        <v>0</v>
      </c>
    </row>
    <row r="810" spans="20:22" x14ac:dyDescent="0.3">
      <c r="T810" s="39">
        <v>68028</v>
      </c>
      <c r="U810" s="39">
        <f t="shared" si="13"/>
        <v>68057</v>
      </c>
      <c r="V810" s="40">
        <f>SUMIFS(Income_Tracker_Table[Amount Earned],Income_Tracker_Table[Date Received],"&gt;="&amp;T810,Income_Tracker_Table[Date Received],"&lt;="&amp;U810)</f>
        <v>0</v>
      </c>
    </row>
    <row r="811" spans="20:22" x14ac:dyDescent="0.3">
      <c r="T811" s="39">
        <v>68058</v>
      </c>
      <c r="U811" s="39">
        <f t="shared" si="13"/>
        <v>68088</v>
      </c>
      <c r="V811" s="40">
        <f>SUMIFS(Income_Tracker_Table[Amount Earned],Income_Tracker_Table[Date Received],"&gt;="&amp;T811,Income_Tracker_Table[Date Received],"&lt;="&amp;U811)</f>
        <v>0</v>
      </c>
    </row>
    <row r="812" spans="20:22" x14ac:dyDescent="0.3">
      <c r="T812" s="39">
        <v>68089</v>
      </c>
      <c r="U812" s="39">
        <f t="shared" si="13"/>
        <v>68118</v>
      </c>
      <c r="V812" s="40">
        <f>SUMIFS(Income_Tracker_Table[Amount Earned],Income_Tracker_Table[Date Received],"&gt;="&amp;T812,Income_Tracker_Table[Date Received],"&lt;="&amp;U812)</f>
        <v>0</v>
      </c>
    </row>
    <row r="813" spans="20:22" x14ac:dyDescent="0.3">
      <c r="T813" s="39">
        <v>68119</v>
      </c>
      <c r="U813" s="39">
        <f t="shared" si="13"/>
        <v>68149</v>
      </c>
      <c r="V813" s="40">
        <f>SUMIFS(Income_Tracker_Table[Amount Earned],Income_Tracker_Table[Date Received],"&gt;="&amp;T813,Income_Tracker_Table[Date Received],"&lt;="&amp;U813)</f>
        <v>0</v>
      </c>
    </row>
    <row r="814" spans="20:22" x14ac:dyDescent="0.3">
      <c r="T814" s="39">
        <v>68150</v>
      </c>
      <c r="U814" s="39">
        <f t="shared" si="13"/>
        <v>68180</v>
      </c>
      <c r="V814" s="40">
        <f>SUMIFS(Income_Tracker_Table[Amount Earned],Income_Tracker_Table[Date Received],"&gt;="&amp;T814,Income_Tracker_Table[Date Received],"&lt;="&amp;U814)</f>
        <v>0</v>
      </c>
    </row>
    <row r="815" spans="20:22" x14ac:dyDescent="0.3">
      <c r="T815" s="39">
        <v>68181</v>
      </c>
      <c r="U815" s="39">
        <f t="shared" si="13"/>
        <v>68210</v>
      </c>
      <c r="V815" s="40">
        <f>SUMIFS(Income_Tracker_Table[Amount Earned],Income_Tracker_Table[Date Received],"&gt;="&amp;T815,Income_Tracker_Table[Date Received],"&lt;="&amp;U815)</f>
        <v>0</v>
      </c>
    </row>
    <row r="816" spans="20:22" x14ac:dyDescent="0.3">
      <c r="T816" s="39">
        <v>68211</v>
      </c>
      <c r="U816" s="39">
        <f t="shared" si="13"/>
        <v>68241</v>
      </c>
      <c r="V816" s="40">
        <f>SUMIFS(Income_Tracker_Table[Amount Earned],Income_Tracker_Table[Date Received],"&gt;="&amp;T816,Income_Tracker_Table[Date Received],"&lt;="&amp;U816)</f>
        <v>0</v>
      </c>
    </row>
    <row r="817" spans="20:22" x14ac:dyDescent="0.3">
      <c r="T817" s="39">
        <v>68242</v>
      </c>
      <c r="U817" s="39">
        <f t="shared" si="13"/>
        <v>68271</v>
      </c>
      <c r="V817" s="40">
        <f>SUMIFS(Income_Tracker_Table[Amount Earned],Income_Tracker_Table[Date Received],"&gt;="&amp;T817,Income_Tracker_Table[Date Received],"&lt;="&amp;U817)</f>
        <v>0</v>
      </c>
    </row>
    <row r="818" spans="20:22" x14ac:dyDescent="0.3">
      <c r="T818" s="39">
        <v>68272</v>
      </c>
      <c r="U818" s="39">
        <f t="shared" si="13"/>
        <v>68302</v>
      </c>
      <c r="V818" s="40">
        <f>SUMIFS(Income_Tracker_Table[Amount Earned],Income_Tracker_Table[Date Received],"&gt;="&amp;T818,Income_Tracker_Table[Date Received],"&lt;="&amp;U818)</f>
        <v>0</v>
      </c>
    </row>
    <row r="819" spans="20:22" x14ac:dyDescent="0.3">
      <c r="T819" s="39">
        <v>68303</v>
      </c>
      <c r="U819" s="39">
        <f t="shared" si="13"/>
        <v>68333</v>
      </c>
      <c r="V819" s="40">
        <f>SUMIFS(Income_Tracker_Table[Amount Earned],Income_Tracker_Table[Date Received],"&gt;="&amp;T819,Income_Tracker_Table[Date Received],"&lt;="&amp;U819)</f>
        <v>0</v>
      </c>
    </row>
    <row r="820" spans="20:22" x14ac:dyDescent="0.3">
      <c r="T820" s="39">
        <v>68334</v>
      </c>
      <c r="U820" s="39">
        <f t="shared" si="13"/>
        <v>68361</v>
      </c>
      <c r="V820" s="40">
        <f>SUMIFS(Income_Tracker_Table[Amount Earned],Income_Tracker_Table[Date Received],"&gt;="&amp;T820,Income_Tracker_Table[Date Received],"&lt;="&amp;U820)</f>
        <v>0</v>
      </c>
    </row>
    <row r="821" spans="20:22" x14ac:dyDescent="0.3">
      <c r="T821" s="39">
        <v>68362</v>
      </c>
      <c r="U821" s="39">
        <f t="shared" si="13"/>
        <v>68392</v>
      </c>
      <c r="V821" s="40">
        <f>SUMIFS(Income_Tracker_Table[Amount Earned],Income_Tracker_Table[Date Received],"&gt;="&amp;T821,Income_Tracker_Table[Date Received],"&lt;="&amp;U821)</f>
        <v>0</v>
      </c>
    </row>
    <row r="822" spans="20:22" x14ac:dyDescent="0.3">
      <c r="T822" s="39">
        <v>68393</v>
      </c>
      <c r="U822" s="39">
        <f t="shared" si="13"/>
        <v>68422</v>
      </c>
      <c r="V822" s="40">
        <f>SUMIFS(Income_Tracker_Table[Amount Earned],Income_Tracker_Table[Date Received],"&gt;="&amp;T822,Income_Tracker_Table[Date Received],"&lt;="&amp;U822)</f>
        <v>0</v>
      </c>
    </row>
    <row r="823" spans="20:22" x14ac:dyDescent="0.3">
      <c r="T823" s="39">
        <v>68423</v>
      </c>
      <c r="U823" s="39">
        <f t="shared" si="13"/>
        <v>68453</v>
      </c>
      <c r="V823" s="40">
        <f>SUMIFS(Income_Tracker_Table[Amount Earned],Income_Tracker_Table[Date Received],"&gt;="&amp;T823,Income_Tracker_Table[Date Received],"&lt;="&amp;U823)</f>
        <v>0</v>
      </c>
    </row>
    <row r="824" spans="20:22" x14ac:dyDescent="0.3">
      <c r="T824" s="39">
        <v>68454</v>
      </c>
      <c r="U824" s="39">
        <f t="shared" si="13"/>
        <v>68483</v>
      </c>
      <c r="V824" s="40">
        <f>SUMIFS(Income_Tracker_Table[Amount Earned],Income_Tracker_Table[Date Received],"&gt;="&amp;T824,Income_Tracker_Table[Date Received],"&lt;="&amp;U824)</f>
        <v>0</v>
      </c>
    </row>
    <row r="825" spans="20:22" x14ac:dyDescent="0.3">
      <c r="T825" s="39">
        <v>68484</v>
      </c>
      <c r="U825" s="39">
        <f t="shared" si="13"/>
        <v>68514</v>
      </c>
      <c r="V825" s="40">
        <f>SUMIFS(Income_Tracker_Table[Amount Earned],Income_Tracker_Table[Date Received],"&gt;="&amp;T825,Income_Tracker_Table[Date Received],"&lt;="&amp;U825)</f>
        <v>0</v>
      </c>
    </row>
    <row r="826" spans="20:22" x14ac:dyDescent="0.3">
      <c r="T826" s="39">
        <v>68515</v>
      </c>
      <c r="U826" s="39">
        <f t="shared" si="13"/>
        <v>68545</v>
      </c>
      <c r="V826" s="40">
        <f>SUMIFS(Income_Tracker_Table[Amount Earned],Income_Tracker_Table[Date Received],"&gt;="&amp;T826,Income_Tracker_Table[Date Received],"&lt;="&amp;U826)</f>
        <v>0</v>
      </c>
    </row>
    <row r="827" spans="20:22" x14ac:dyDescent="0.3">
      <c r="T827" s="39">
        <v>68546</v>
      </c>
      <c r="U827" s="39">
        <f t="shared" si="13"/>
        <v>68575</v>
      </c>
      <c r="V827" s="40">
        <f>SUMIFS(Income_Tracker_Table[Amount Earned],Income_Tracker_Table[Date Received],"&gt;="&amp;T827,Income_Tracker_Table[Date Received],"&lt;="&amp;U827)</f>
        <v>0</v>
      </c>
    </row>
    <row r="828" spans="20:22" x14ac:dyDescent="0.3">
      <c r="T828" s="39">
        <v>68576</v>
      </c>
      <c r="U828" s="39">
        <f t="shared" si="13"/>
        <v>68606</v>
      </c>
      <c r="V828" s="40">
        <f>SUMIFS(Income_Tracker_Table[Amount Earned],Income_Tracker_Table[Date Received],"&gt;="&amp;T828,Income_Tracker_Table[Date Received],"&lt;="&amp;U828)</f>
        <v>0</v>
      </c>
    </row>
    <row r="829" spans="20:22" x14ac:dyDescent="0.3">
      <c r="T829" s="39">
        <v>68607</v>
      </c>
      <c r="U829" s="39">
        <f t="shared" si="13"/>
        <v>68636</v>
      </c>
      <c r="V829" s="40">
        <f>SUMIFS(Income_Tracker_Table[Amount Earned],Income_Tracker_Table[Date Received],"&gt;="&amp;T829,Income_Tracker_Table[Date Received],"&lt;="&amp;U829)</f>
        <v>0</v>
      </c>
    </row>
    <row r="830" spans="20:22" x14ac:dyDescent="0.3">
      <c r="T830" s="39">
        <v>68637</v>
      </c>
      <c r="U830" s="39">
        <f t="shared" si="13"/>
        <v>68667</v>
      </c>
      <c r="V830" s="40">
        <f>SUMIFS(Income_Tracker_Table[Amount Earned],Income_Tracker_Table[Date Received],"&gt;="&amp;T830,Income_Tracker_Table[Date Received],"&lt;="&amp;U830)</f>
        <v>0</v>
      </c>
    </row>
    <row r="831" spans="20:22" x14ac:dyDescent="0.3">
      <c r="T831" s="39">
        <v>68668</v>
      </c>
      <c r="U831" s="39">
        <f t="shared" si="13"/>
        <v>68698</v>
      </c>
      <c r="V831" s="40">
        <f>SUMIFS(Income_Tracker_Table[Amount Earned],Income_Tracker_Table[Date Received],"&gt;="&amp;T831,Income_Tracker_Table[Date Received],"&lt;="&amp;U831)</f>
        <v>0</v>
      </c>
    </row>
    <row r="832" spans="20:22" x14ac:dyDescent="0.3">
      <c r="T832" s="39">
        <v>68699</v>
      </c>
      <c r="U832" s="39">
        <f t="shared" si="13"/>
        <v>68727</v>
      </c>
      <c r="V832" s="40">
        <f>SUMIFS(Income_Tracker_Table[Amount Earned],Income_Tracker_Table[Date Received],"&gt;="&amp;T832,Income_Tracker_Table[Date Received],"&lt;="&amp;U832)</f>
        <v>0</v>
      </c>
    </row>
    <row r="833" spans="20:22" x14ac:dyDescent="0.3">
      <c r="T833" s="39">
        <v>68728</v>
      </c>
      <c r="U833" s="39">
        <f t="shared" si="13"/>
        <v>68758</v>
      </c>
      <c r="V833" s="40">
        <f>SUMIFS(Income_Tracker_Table[Amount Earned],Income_Tracker_Table[Date Received],"&gt;="&amp;T833,Income_Tracker_Table[Date Received],"&lt;="&amp;U833)</f>
        <v>0</v>
      </c>
    </row>
    <row r="834" spans="20:22" x14ac:dyDescent="0.3">
      <c r="T834" s="39">
        <v>68759</v>
      </c>
      <c r="U834" s="39">
        <f t="shared" si="13"/>
        <v>68788</v>
      </c>
      <c r="V834" s="40">
        <f>SUMIFS(Income_Tracker_Table[Amount Earned],Income_Tracker_Table[Date Received],"&gt;="&amp;T834,Income_Tracker_Table[Date Received],"&lt;="&amp;U834)</f>
        <v>0</v>
      </c>
    </row>
    <row r="835" spans="20:22" x14ac:dyDescent="0.3">
      <c r="T835" s="39">
        <v>68789</v>
      </c>
      <c r="U835" s="39">
        <f t="shared" si="13"/>
        <v>68819</v>
      </c>
      <c r="V835" s="40">
        <f>SUMIFS(Income_Tracker_Table[Amount Earned],Income_Tracker_Table[Date Received],"&gt;="&amp;T835,Income_Tracker_Table[Date Received],"&lt;="&amp;U835)</f>
        <v>0</v>
      </c>
    </row>
    <row r="836" spans="20:22" x14ac:dyDescent="0.3">
      <c r="T836" s="39">
        <v>68820</v>
      </c>
      <c r="U836" s="39">
        <f t="shared" si="13"/>
        <v>68849</v>
      </c>
      <c r="V836" s="40">
        <f>SUMIFS(Income_Tracker_Table[Amount Earned],Income_Tracker_Table[Date Received],"&gt;="&amp;T836,Income_Tracker_Table[Date Received],"&lt;="&amp;U836)</f>
        <v>0</v>
      </c>
    </row>
    <row r="837" spans="20:22" x14ac:dyDescent="0.3">
      <c r="T837" s="39">
        <v>68850</v>
      </c>
      <c r="U837" s="39">
        <f t="shared" si="13"/>
        <v>68880</v>
      </c>
      <c r="V837" s="40">
        <f>SUMIFS(Income_Tracker_Table[Amount Earned],Income_Tracker_Table[Date Received],"&gt;="&amp;T837,Income_Tracker_Table[Date Received],"&lt;="&amp;U837)</f>
        <v>0</v>
      </c>
    </row>
    <row r="838" spans="20:22" x14ac:dyDescent="0.3">
      <c r="T838" s="39">
        <v>68881</v>
      </c>
      <c r="U838" s="39">
        <f t="shared" si="13"/>
        <v>68911</v>
      </c>
      <c r="V838" s="40">
        <f>SUMIFS(Income_Tracker_Table[Amount Earned],Income_Tracker_Table[Date Received],"&gt;="&amp;T838,Income_Tracker_Table[Date Received],"&lt;="&amp;U838)</f>
        <v>0</v>
      </c>
    </row>
    <row r="839" spans="20:22" x14ac:dyDescent="0.3">
      <c r="T839" s="39">
        <v>68912</v>
      </c>
      <c r="U839" s="39">
        <f t="shared" si="13"/>
        <v>68941</v>
      </c>
      <c r="V839" s="40">
        <f>SUMIFS(Income_Tracker_Table[Amount Earned],Income_Tracker_Table[Date Received],"&gt;="&amp;T839,Income_Tracker_Table[Date Received],"&lt;="&amp;U839)</f>
        <v>0</v>
      </c>
    </row>
    <row r="840" spans="20:22" x14ac:dyDescent="0.3">
      <c r="T840" s="39">
        <v>68942</v>
      </c>
      <c r="U840" s="39">
        <f t="shared" si="13"/>
        <v>68972</v>
      </c>
      <c r="V840" s="40">
        <f>SUMIFS(Income_Tracker_Table[Amount Earned],Income_Tracker_Table[Date Received],"&gt;="&amp;T840,Income_Tracker_Table[Date Received],"&lt;="&amp;U840)</f>
        <v>0</v>
      </c>
    </row>
    <row r="841" spans="20:22" x14ac:dyDescent="0.3">
      <c r="T841" s="39">
        <v>68973</v>
      </c>
      <c r="U841" s="39">
        <f t="shared" ref="U841:U904" si="14">EOMONTH(T841,0)</f>
        <v>69002</v>
      </c>
      <c r="V841" s="40">
        <f>SUMIFS(Income_Tracker_Table[Amount Earned],Income_Tracker_Table[Date Received],"&gt;="&amp;T841,Income_Tracker_Table[Date Received],"&lt;="&amp;U841)</f>
        <v>0</v>
      </c>
    </row>
    <row r="842" spans="20:22" x14ac:dyDescent="0.3">
      <c r="T842" s="39">
        <v>69003</v>
      </c>
      <c r="U842" s="39">
        <f t="shared" si="14"/>
        <v>69033</v>
      </c>
      <c r="V842" s="40">
        <f>SUMIFS(Income_Tracker_Table[Amount Earned],Income_Tracker_Table[Date Received],"&gt;="&amp;T842,Income_Tracker_Table[Date Received],"&lt;="&amp;U842)</f>
        <v>0</v>
      </c>
    </row>
    <row r="843" spans="20:22" x14ac:dyDescent="0.3">
      <c r="T843" s="39">
        <v>69034</v>
      </c>
      <c r="U843" s="39">
        <f t="shared" si="14"/>
        <v>69064</v>
      </c>
      <c r="V843" s="40">
        <f>SUMIFS(Income_Tracker_Table[Amount Earned],Income_Tracker_Table[Date Received],"&gt;="&amp;T843,Income_Tracker_Table[Date Received],"&lt;="&amp;U843)</f>
        <v>0</v>
      </c>
    </row>
    <row r="844" spans="20:22" x14ac:dyDescent="0.3">
      <c r="T844" s="39">
        <v>69065</v>
      </c>
      <c r="U844" s="39">
        <f t="shared" si="14"/>
        <v>69092</v>
      </c>
      <c r="V844" s="40">
        <f>SUMIFS(Income_Tracker_Table[Amount Earned],Income_Tracker_Table[Date Received],"&gt;="&amp;T844,Income_Tracker_Table[Date Received],"&lt;="&amp;U844)</f>
        <v>0</v>
      </c>
    </row>
    <row r="845" spans="20:22" x14ac:dyDescent="0.3">
      <c r="T845" s="39">
        <v>69093</v>
      </c>
      <c r="U845" s="39">
        <f t="shared" si="14"/>
        <v>69123</v>
      </c>
      <c r="V845" s="40">
        <f>SUMIFS(Income_Tracker_Table[Amount Earned],Income_Tracker_Table[Date Received],"&gt;="&amp;T845,Income_Tracker_Table[Date Received],"&lt;="&amp;U845)</f>
        <v>0</v>
      </c>
    </row>
    <row r="846" spans="20:22" x14ac:dyDescent="0.3">
      <c r="T846" s="39">
        <v>69124</v>
      </c>
      <c r="U846" s="39">
        <f t="shared" si="14"/>
        <v>69153</v>
      </c>
      <c r="V846" s="40">
        <f>SUMIFS(Income_Tracker_Table[Amount Earned],Income_Tracker_Table[Date Received],"&gt;="&amp;T846,Income_Tracker_Table[Date Received],"&lt;="&amp;U846)</f>
        <v>0</v>
      </c>
    </row>
    <row r="847" spans="20:22" x14ac:dyDescent="0.3">
      <c r="T847" s="39">
        <v>69154</v>
      </c>
      <c r="U847" s="39">
        <f t="shared" si="14"/>
        <v>69184</v>
      </c>
      <c r="V847" s="40">
        <f>SUMIFS(Income_Tracker_Table[Amount Earned],Income_Tracker_Table[Date Received],"&gt;="&amp;T847,Income_Tracker_Table[Date Received],"&lt;="&amp;U847)</f>
        <v>0</v>
      </c>
    </row>
    <row r="848" spans="20:22" x14ac:dyDescent="0.3">
      <c r="T848" s="39">
        <v>69185</v>
      </c>
      <c r="U848" s="39">
        <f t="shared" si="14"/>
        <v>69214</v>
      </c>
      <c r="V848" s="40">
        <f>SUMIFS(Income_Tracker_Table[Amount Earned],Income_Tracker_Table[Date Received],"&gt;="&amp;T848,Income_Tracker_Table[Date Received],"&lt;="&amp;U848)</f>
        <v>0</v>
      </c>
    </row>
    <row r="849" spans="20:22" x14ac:dyDescent="0.3">
      <c r="T849" s="39">
        <v>69215</v>
      </c>
      <c r="U849" s="39">
        <f t="shared" si="14"/>
        <v>69245</v>
      </c>
      <c r="V849" s="40">
        <f>SUMIFS(Income_Tracker_Table[Amount Earned],Income_Tracker_Table[Date Received],"&gt;="&amp;T849,Income_Tracker_Table[Date Received],"&lt;="&amp;U849)</f>
        <v>0</v>
      </c>
    </row>
    <row r="850" spans="20:22" x14ac:dyDescent="0.3">
      <c r="T850" s="39">
        <v>69246</v>
      </c>
      <c r="U850" s="39">
        <f t="shared" si="14"/>
        <v>69276</v>
      </c>
      <c r="V850" s="40">
        <f>SUMIFS(Income_Tracker_Table[Amount Earned],Income_Tracker_Table[Date Received],"&gt;="&amp;T850,Income_Tracker_Table[Date Received],"&lt;="&amp;U850)</f>
        <v>0</v>
      </c>
    </row>
    <row r="851" spans="20:22" x14ac:dyDescent="0.3">
      <c r="T851" s="39">
        <v>69277</v>
      </c>
      <c r="U851" s="39">
        <f t="shared" si="14"/>
        <v>69306</v>
      </c>
      <c r="V851" s="40">
        <f>SUMIFS(Income_Tracker_Table[Amount Earned],Income_Tracker_Table[Date Received],"&gt;="&amp;T851,Income_Tracker_Table[Date Received],"&lt;="&amp;U851)</f>
        <v>0</v>
      </c>
    </row>
    <row r="852" spans="20:22" x14ac:dyDescent="0.3">
      <c r="T852" s="39">
        <v>69307</v>
      </c>
      <c r="U852" s="39">
        <f t="shared" si="14"/>
        <v>69337</v>
      </c>
      <c r="V852" s="40">
        <f>SUMIFS(Income_Tracker_Table[Amount Earned],Income_Tracker_Table[Date Received],"&gt;="&amp;T852,Income_Tracker_Table[Date Received],"&lt;="&amp;U852)</f>
        <v>0</v>
      </c>
    </row>
    <row r="853" spans="20:22" x14ac:dyDescent="0.3">
      <c r="T853" s="39">
        <v>69338</v>
      </c>
      <c r="U853" s="39">
        <f t="shared" si="14"/>
        <v>69367</v>
      </c>
      <c r="V853" s="40">
        <f>SUMIFS(Income_Tracker_Table[Amount Earned],Income_Tracker_Table[Date Received],"&gt;="&amp;T853,Income_Tracker_Table[Date Received],"&lt;="&amp;U853)</f>
        <v>0</v>
      </c>
    </row>
    <row r="854" spans="20:22" x14ac:dyDescent="0.3">
      <c r="T854" s="39">
        <v>69368</v>
      </c>
      <c r="U854" s="39">
        <f t="shared" si="14"/>
        <v>69398</v>
      </c>
      <c r="V854" s="40">
        <f>SUMIFS(Income_Tracker_Table[Amount Earned],Income_Tracker_Table[Date Received],"&gt;="&amp;T854,Income_Tracker_Table[Date Received],"&lt;="&amp;U854)</f>
        <v>0</v>
      </c>
    </row>
    <row r="855" spans="20:22" x14ac:dyDescent="0.3">
      <c r="T855" s="39">
        <v>69399</v>
      </c>
      <c r="U855" s="39">
        <f t="shared" si="14"/>
        <v>69429</v>
      </c>
      <c r="V855" s="40">
        <f>SUMIFS(Income_Tracker_Table[Amount Earned],Income_Tracker_Table[Date Received],"&gt;="&amp;T855,Income_Tracker_Table[Date Received],"&lt;="&amp;U855)</f>
        <v>0</v>
      </c>
    </row>
    <row r="856" spans="20:22" x14ac:dyDescent="0.3">
      <c r="T856" s="39">
        <v>69430</v>
      </c>
      <c r="U856" s="39">
        <f t="shared" si="14"/>
        <v>69457</v>
      </c>
      <c r="V856" s="40">
        <f>SUMIFS(Income_Tracker_Table[Amount Earned],Income_Tracker_Table[Date Received],"&gt;="&amp;T856,Income_Tracker_Table[Date Received],"&lt;="&amp;U856)</f>
        <v>0</v>
      </c>
    </row>
    <row r="857" spans="20:22" x14ac:dyDescent="0.3">
      <c r="T857" s="39">
        <v>69458</v>
      </c>
      <c r="U857" s="39">
        <f t="shared" si="14"/>
        <v>69488</v>
      </c>
      <c r="V857" s="40">
        <f>SUMIFS(Income_Tracker_Table[Amount Earned],Income_Tracker_Table[Date Received],"&gt;="&amp;T857,Income_Tracker_Table[Date Received],"&lt;="&amp;U857)</f>
        <v>0</v>
      </c>
    </row>
    <row r="858" spans="20:22" x14ac:dyDescent="0.3">
      <c r="T858" s="39">
        <v>69489</v>
      </c>
      <c r="U858" s="39">
        <f t="shared" si="14"/>
        <v>69518</v>
      </c>
      <c r="V858" s="40">
        <f>SUMIFS(Income_Tracker_Table[Amount Earned],Income_Tracker_Table[Date Received],"&gt;="&amp;T858,Income_Tracker_Table[Date Received],"&lt;="&amp;U858)</f>
        <v>0</v>
      </c>
    </row>
    <row r="859" spans="20:22" x14ac:dyDescent="0.3">
      <c r="T859" s="39">
        <v>69519</v>
      </c>
      <c r="U859" s="39">
        <f t="shared" si="14"/>
        <v>69549</v>
      </c>
      <c r="V859" s="40">
        <f>SUMIFS(Income_Tracker_Table[Amount Earned],Income_Tracker_Table[Date Received],"&gt;="&amp;T859,Income_Tracker_Table[Date Received],"&lt;="&amp;U859)</f>
        <v>0</v>
      </c>
    </row>
    <row r="860" spans="20:22" x14ac:dyDescent="0.3">
      <c r="T860" s="39">
        <v>69550</v>
      </c>
      <c r="U860" s="39">
        <f t="shared" si="14"/>
        <v>69579</v>
      </c>
      <c r="V860" s="40">
        <f>SUMIFS(Income_Tracker_Table[Amount Earned],Income_Tracker_Table[Date Received],"&gt;="&amp;T860,Income_Tracker_Table[Date Received],"&lt;="&amp;U860)</f>
        <v>0</v>
      </c>
    </row>
    <row r="861" spans="20:22" x14ac:dyDescent="0.3">
      <c r="T861" s="39">
        <v>69580</v>
      </c>
      <c r="U861" s="39">
        <f t="shared" si="14"/>
        <v>69610</v>
      </c>
      <c r="V861" s="40">
        <f>SUMIFS(Income_Tracker_Table[Amount Earned],Income_Tracker_Table[Date Received],"&gt;="&amp;T861,Income_Tracker_Table[Date Received],"&lt;="&amp;U861)</f>
        <v>0</v>
      </c>
    </row>
    <row r="862" spans="20:22" x14ac:dyDescent="0.3">
      <c r="T862" s="39">
        <v>69611</v>
      </c>
      <c r="U862" s="39">
        <f t="shared" si="14"/>
        <v>69641</v>
      </c>
      <c r="V862" s="40">
        <f>SUMIFS(Income_Tracker_Table[Amount Earned],Income_Tracker_Table[Date Received],"&gt;="&amp;T862,Income_Tracker_Table[Date Received],"&lt;="&amp;U862)</f>
        <v>0</v>
      </c>
    </row>
    <row r="863" spans="20:22" x14ac:dyDescent="0.3">
      <c r="T863" s="39">
        <v>69642</v>
      </c>
      <c r="U863" s="39">
        <f t="shared" si="14"/>
        <v>69671</v>
      </c>
      <c r="V863" s="40">
        <f>SUMIFS(Income_Tracker_Table[Amount Earned],Income_Tracker_Table[Date Received],"&gt;="&amp;T863,Income_Tracker_Table[Date Received],"&lt;="&amp;U863)</f>
        <v>0</v>
      </c>
    </row>
    <row r="864" spans="20:22" x14ac:dyDescent="0.3">
      <c r="T864" s="39">
        <v>69672</v>
      </c>
      <c r="U864" s="39">
        <f t="shared" si="14"/>
        <v>69702</v>
      </c>
      <c r="V864" s="40">
        <f>SUMIFS(Income_Tracker_Table[Amount Earned],Income_Tracker_Table[Date Received],"&gt;="&amp;T864,Income_Tracker_Table[Date Received],"&lt;="&amp;U864)</f>
        <v>0</v>
      </c>
    </row>
    <row r="865" spans="20:22" x14ac:dyDescent="0.3">
      <c r="T865" s="39">
        <v>69703</v>
      </c>
      <c r="U865" s="39">
        <f t="shared" si="14"/>
        <v>69732</v>
      </c>
      <c r="V865" s="40">
        <f>SUMIFS(Income_Tracker_Table[Amount Earned],Income_Tracker_Table[Date Received],"&gt;="&amp;T865,Income_Tracker_Table[Date Received],"&lt;="&amp;U865)</f>
        <v>0</v>
      </c>
    </row>
    <row r="866" spans="20:22" x14ac:dyDescent="0.3">
      <c r="T866" s="39">
        <v>69733</v>
      </c>
      <c r="U866" s="39">
        <f t="shared" si="14"/>
        <v>69763</v>
      </c>
      <c r="V866" s="40">
        <f>SUMIFS(Income_Tracker_Table[Amount Earned],Income_Tracker_Table[Date Received],"&gt;="&amp;T866,Income_Tracker_Table[Date Received],"&lt;="&amp;U866)</f>
        <v>0</v>
      </c>
    </row>
    <row r="867" spans="20:22" x14ac:dyDescent="0.3">
      <c r="T867" s="39">
        <v>69764</v>
      </c>
      <c r="U867" s="39">
        <f t="shared" si="14"/>
        <v>69794</v>
      </c>
      <c r="V867" s="40">
        <f>SUMIFS(Income_Tracker_Table[Amount Earned],Income_Tracker_Table[Date Received],"&gt;="&amp;T867,Income_Tracker_Table[Date Received],"&lt;="&amp;U867)</f>
        <v>0</v>
      </c>
    </row>
    <row r="868" spans="20:22" x14ac:dyDescent="0.3">
      <c r="T868" s="39">
        <v>69795</v>
      </c>
      <c r="U868" s="39">
        <f t="shared" si="14"/>
        <v>69822</v>
      </c>
      <c r="V868" s="40">
        <f>SUMIFS(Income_Tracker_Table[Amount Earned],Income_Tracker_Table[Date Received],"&gt;="&amp;T868,Income_Tracker_Table[Date Received],"&lt;="&amp;U868)</f>
        <v>0</v>
      </c>
    </row>
    <row r="869" spans="20:22" x14ac:dyDescent="0.3">
      <c r="T869" s="39">
        <v>69823</v>
      </c>
      <c r="U869" s="39">
        <f t="shared" si="14"/>
        <v>69853</v>
      </c>
      <c r="V869" s="40">
        <f>SUMIFS(Income_Tracker_Table[Amount Earned],Income_Tracker_Table[Date Received],"&gt;="&amp;T869,Income_Tracker_Table[Date Received],"&lt;="&amp;U869)</f>
        <v>0</v>
      </c>
    </row>
    <row r="870" spans="20:22" x14ac:dyDescent="0.3">
      <c r="T870" s="39">
        <v>69854</v>
      </c>
      <c r="U870" s="39">
        <f t="shared" si="14"/>
        <v>69883</v>
      </c>
      <c r="V870" s="40">
        <f>SUMIFS(Income_Tracker_Table[Amount Earned],Income_Tracker_Table[Date Received],"&gt;="&amp;T870,Income_Tracker_Table[Date Received],"&lt;="&amp;U870)</f>
        <v>0</v>
      </c>
    </row>
    <row r="871" spans="20:22" x14ac:dyDescent="0.3">
      <c r="T871" s="39">
        <v>69884</v>
      </c>
      <c r="U871" s="39">
        <f t="shared" si="14"/>
        <v>69914</v>
      </c>
      <c r="V871" s="40">
        <f>SUMIFS(Income_Tracker_Table[Amount Earned],Income_Tracker_Table[Date Received],"&gt;="&amp;T871,Income_Tracker_Table[Date Received],"&lt;="&amp;U871)</f>
        <v>0</v>
      </c>
    </row>
    <row r="872" spans="20:22" x14ac:dyDescent="0.3">
      <c r="T872" s="39">
        <v>69915</v>
      </c>
      <c r="U872" s="39">
        <f t="shared" si="14"/>
        <v>69944</v>
      </c>
      <c r="V872" s="40">
        <f>SUMIFS(Income_Tracker_Table[Amount Earned],Income_Tracker_Table[Date Received],"&gt;="&amp;T872,Income_Tracker_Table[Date Received],"&lt;="&amp;U872)</f>
        <v>0</v>
      </c>
    </row>
    <row r="873" spans="20:22" x14ac:dyDescent="0.3">
      <c r="T873" s="39">
        <v>69945</v>
      </c>
      <c r="U873" s="39">
        <f t="shared" si="14"/>
        <v>69975</v>
      </c>
      <c r="V873" s="40">
        <f>SUMIFS(Income_Tracker_Table[Amount Earned],Income_Tracker_Table[Date Received],"&gt;="&amp;T873,Income_Tracker_Table[Date Received],"&lt;="&amp;U873)</f>
        <v>0</v>
      </c>
    </row>
    <row r="874" spans="20:22" x14ac:dyDescent="0.3">
      <c r="T874" s="39">
        <v>69976</v>
      </c>
      <c r="U874" s="39">
        <f t="shared" si="14"/>
        <v>70006</v>
      </c>
      <c r="V874" s="40">
        <f>SUMIFS(Income_Tracker_Table[Amount Earned],Income_Tracker_Table[Date Received],"&gt;="&amp;T874,Income_Tracker_Table[Date Received],"&lt;="&amp;U874)</f>
        <v>0</v>
      </c>
    </row>
    <row r="875" spans="20:22" x14ac:dyDescent="0.3">
      <c r="T875" s="39">
        <v>70007</v>
      </c>
      <c r="U875" s="39">
        <f t="shared" si="14"/>
        <v>70036</v>
      </c>
      <c r="V875" s="40">
        <f>SUMIFS(Income_Tracker_Table[Amount Earned],Income_Tracker_Table[Date Received],"&gt;="&amp;T875,Income_Tracker_Table[Date Received],"&lt;="&amp;U875)</f>
        <v>0</v>
      </c>
    </row>
    <row r="876" spans="20:22" x14ac:dyDescent="0.3">
      <c r="T876" s="39">
        <v>70037</v>
      </c>
      <c r="U876" s="39">
        <f t="shared" si="14"/>
        <v>70067</v>
      </c>
      <c r="V876" s="40">
        <f>SUMIFS(Income_Tracker_Table[Amount Earned],Income_Tracker_Table[Date Received],"&gt;="&amp;T876,Income_Tracker_Table[Date Received],"&lt;="&amp;U876)</f>
        <v>0</v>
      </c>
    </row>
    <row r="877" spans="20:22" x14ac:dyDescent="0.3">
      <c r="T877" s="39">
        <v>70068</v>
      </c>
      <c r="U877" s="39">
        <f t="shared" si="14"/>
        <v>70097</v>
      </c>
      <c r="V877" s="40">
        <f>SUMIFS(Income_Tracker_Table[Amount Earned],Income_Tracker_Table[Date Received],"&gt;="&amp;T877,Income_Tracker_Table[Date Received],"&lt;="&amp;U877)</f>
        <v>0</v>
      </c>
    </row>
    <row r="878" spans="20:22" x14ac:dyDescent="0.3">
      <c r="T878" s="39">
        <v>70098</v>
      </c>
      <c r="U878" s="39">
        <f t="shared" si="14"/>
        <v>70128</v>
      </c>
      <c r="V878" s="40">
        <f>SUMIFS(Income_Tracker_Table[Amount Earned],Income_Tracker_Table[Date Received],"&gt;="&amp;T878,Income_Tracker_Table[Date Received],"&lt;="&amp;U878)</f>
        <v>0</v>
      </c>
    </row>
    <row r="879" spans="20:22" x14ac:dyDescent="0.3">
      <c r="T879" s="39">
        <v>70129</v>
      </c>
      <c r="U879" s="39">
        <f t="shared" si="14"/>
        <v>70159</v>
      </c>
      <c r="V879" s="40">
        <f>SUMIFS(Income_Tracker_Table[Amount Earned],Income_Tracker_Table[Date Received],"&gt;="&amp;T879,Income_Tracker_Table[Date Received],"&lt;="&amp;U879)</f>
        <v>0</v>
      </c>
    </row>
    <row r="880" spans="20:22" x14ac:dyDescent="0.3">
      <c r="T880" s="39">
        <v>70160</v>
      </c>
      <c r="U880" s="39">
        <f t="shared" si="14"/>
        <v>70188</v>
      </c>
      <c r="V880" s="40">
        <f>SUMIFS(Income_Tracker_Table[Amount Earned],Income_Tracker_Table[Date Received],"&gt;="&amp;T880,Income_Tracker_Table[Date Received],"&lt;="&amp;U880)</f>
        <v>0</v>
      </c>
    </row>
    <row r="881" spans="20:22" x14ac:dyDescent="0.3">
      <c r="T881" s="39">
        <v>70189</v>
      </c>
      <c r="U881" s="39">
        <f t="shared" si="14"/>
        <v>70219</v>
      </c>
      <c r="V881" s="40">
        <f>SUMIFS(Income_Tracker_Table[Amount Earned],Income_Tracker_Table[Date Received],"&gt;="&amp;T881,Income_Tracker_Table[Date Received],"&lt;="&amp;U881)</f>
        <v>0</v>
      </c>
    </row>
    <row r="882" spans="20:22" x14ac:dyDescent="0.3">
      <c r="T882" s="39">
        <v>70220</v>
      </c>
      <c r="U882" s="39">
        <f t="shared" si="14"/>
        <v>70249</v>
      </c>
      <c r="V882" s="40">
        <f>SUMIFS(Income_Tracker_Table[Amount Earned],Income_Tracker_Table[Date Received],"&gt;="&amp;T882,Income_Tracker_Table[Date Received],"&lt;="&amp;U882)</f>
        <v>0</v>
      </c>
    </row>
    <row r="883" spans="20:22" x14ac:dyDescent="0.3">
      <c r="T883" s="39">
        <v>70250</v>
      </c>
      <c r="U883" s="39">
        <f t="shared" si="14"/>
        <v>70280</v>
      </c>
      <c r="V883" s="40">
        <f>SUMIFS(Income_Tracker_Table[Amount Earned],Income_Tracker_Table[Date Received],"&gt;="&amp;T883,Income_Tracker_Table[Date Received],"&lt;="&amp;U883)</f>
        <v>0</v>
      </c>
    </row>
    <row r="884" spans="20:22" x14ac:dyDescent="0.3">
      <c r="T884" s="39">
        <v>70281</v>
      </c>
      <c r="U884" s="39">
        <f t="shared" si="14"/>
        <v>70310</v>
      </c>
      <c r="V884" s="40">
        <f>SUMIFS(Income_Tracker_Table[Amount Earned],Income_Tracker_Table[Date Received],"&gt;="&amp;T884,Income_Tracker_Table[Date Received],"&lt;="&amp;U884)</f>
        <v>0</v>
      </c>
    </row>
    <row r="885" spans="20:22" x14ac:dyDescent="0.3">
      <c r="T885" s="39">
        <v>70311</v>
      </c>
      <c r="U885" s="39">
        <f t="shared" si="14"/>
        <v>70341</v>
      </c>
      <c r="V885" s="40">
        <f>SUMIFS(Income_Tracker_Table[Amount Earned],Income_Tracker_Table[Date Received],"&gt;="&amp;T885,Income_Tracker_Table[Date Received],"&lt;="&amp;U885)</f>
        <v>0</v>
      </c>
    </row>
    <row r="886" spans="20:22" x14ac:dyDescent="0.3">
      <c r="T886" s="39">
        <v>70342</v>
      </c>
      <c r="U886" s="39">
        <f t="shared" si="14"/>
        <v>70372</v>
      </c>
      <c r="V886" s="40">
        <f>SUMIFS(Income_Tracker_Table[Amount Earned],Income_Tracker_Table[Date Received],"&gt;="&amp;T886,Income_Tracker_Table[Date Received],"&lt;="&amp;U886)</f>
        <v>0</v>
      </c>
    </row>
    <row r="887" spans="20:22" x14ac:dyDescent="0.3">
      <c r="T887" s="39">
        <v>70373</v>
      </c>
      <c r="U887" s="39">
        <f t="shared" si="14"/>
        <v>70402</v>
      </c>
      <c r="V887" s="40">
        <f>SUMIFS(Income_Tracker_Table[Amount Earned],Income_Tracker_Table[Date Received],"&gt;="&amp;T887,Income_Tracker_Table[Date Received],"&lt;="&amp;U887)</f>
        <v>0</v>
      </c>
    </row>
    <row r="888" spans="20:22" x14ac:dyDescent="0.3">
      <c r="T888" s="39">
        <v>70403</v>
      </c>
      <c r="U888" s="39">
        <f t="shared" si="14"/>
        <v>70433</v>
      </c>
      <c r="V888" s="40">
        <f>SUMIFS(Income_Tracker_Table[Amount Earned],Income_Tracker_Table[Date Received],"&gt;="&amp;T888,Income_Tracker_Table[Date Received],"&lt;="&amp;U888)</f>
        <v>0</v>
      </c>
    </row>
    <row r="889" spans="20:22" x14ac:dyDescent="0.3">
      <c r="T889" s="39">
        <v>70434</v>
      </c>
      <c r="U889" s="39">
        <f t="shared" si="14"/>
        <v>70463</v>
      </c>
      <c r="V889" s="40">
        <f>SUMIFS(Income_Tracker_Table[Amount Earned],Income_Tracker_Table[Date Received],"&gt;="&amp;T889,Income_Tracker_Table[Date Received],"&lt;="&amp;U889)</f>
        <v>0</v>
      </c>
    </row>
    <row r="890" spans="20:22" x14ac:dyDescent="0.3">
      <c r="T890" s="39">
        <v>70464</v>
      </c>
      <c r="U890" s="39">
        <f t="shared" si="14"/>
        <v>70494</v>
      </c>
      <c r="V890" s="40">
        <f>SUMIFS(Income_Tracker_Table[Amount Earned],Income_Tracker_Table[Date Received],"&gt;="&amp;T890,Income_Tracker_Table[Date Received],"&lt;="&amp;U890)</f>
        <v>0</v>
      </c>
    </row>
    <row r="891" spans="20:22" x14ac:dyDescent="0.3">
      <c r="T891" s="39">
        <v>70495</v>
      </c>
      <c r="U891" s="39">
        <f t="shared" si="14"/>
        <v>70525</v>
      </c>
      <c r="V891" s="40">
        <f>SUMIFS(Income_Tracker_Table[Amount Earned],Income_Tracker_Table[Date Received],"&gt;="&amp;T891,Income_Tracker_Table[Date Received],"&lt;="&amp;U891)</f>
        <v>0</v>
      </c>
    </row>
    <row r="892" spans="20:22" x14ac:dyDescent="0.3">
      <c r="T892" s="39">
        <v>70526</v>
      </c>
      <c r="U892" s="39">
        <f t="shared" si="14"/>
        <v>70553</v>
      </c>
      <c r="V892" s="40">
        <f>SUMIFS(Income_Tracker_Table[Amount Earned],Income_Tracker_Table[Date Received],"&gt;="&amp;T892,Income_Tracker_Table[Date Received],"&lt;="&amp;U892)</f>
        <v>0</v>
      </c>
    </row>
    <row r="893" spans="20:22" x14ac:dyDescent="0.3">
      <c r="T893" s="39">
        <v>70554</v>
      </c>
      <c r="U893" s="39">
        <f t="shared" si="14"/>
        <v>70584</v>
      </c>
      <c r="V893" s="40">
        <f>SUMIFS(Income_Tracker_Table[Amount Earned],Income_Tracker_Table[Date Received],"&gt;="&amp;T893,Income_Tracker_Table[Date Received],"&lt;="&amp;U893)</f>
        <v>0</v>
      </c>
    </row>
    <row r="894" spans="20:22" x14ac:dyDescent="0.3">
      <c r="T894" s="39">
        <v>70585</v>
      </c>
      <c r="U894" s="39">
        <f t="shared" si="14"/>
        <v>70614</v>
      </c>
      <c r="V894" s="40">
        <f>SUMIFS(Income_Tracker_Table[Amount Earned],Income_Tracker_Table[Date Received],"&gt;="&amp;T894,Income_Tracker_Table[Date Received],"&lt;="&amp;U894)</f>
        <v>0</v>
      </c>
    </row>
    <row r="895" spans="20:22" x14ac:dyDescent="0.3">
      <c r="T895" s="39">
        <v>70615</v>
      </c>
      <c r="U895" s="39">
        <f t="shared" si="14"/>
        <v>70645</v>
      </c>
      <c r="V895" s="40">
        <f>SUMIFS(Income_Tracker_Table[Amount Earned],Income_Tracker_Table[Date Received],"&gt;="&amp;T895,Income_Tracker_Table[Date Received],"&lt;="&amp;U895)</f>
        <v>0</v>
      </c>
    </row>
    <row r="896" spans="20:22" x14ac:dyDescent="0.3">
      <c r="T896" s="39">
        <v>70646</v>
      </c>
      <c r="U896" s="39">
        <f t="shared" si="14"/>
        <v>70675</v>
      </c>
      <c r="V896" s="40">
        <f>SUMIFS(Income_Tracker_Table[Amount Earned],Income_Tracker_Table[Date Received],"&gt;="&amp;T896,Income_Tracker_Table[Date Received],"&lt;="&amp;U896)</f>
        <v>0</v>
      </c>
    </row>
    <row r="897" spans="20:22" x14ac:dyDescent="0.3">
      <c r="T897" s="39">
        <v>70676</v>
      </c>
      <c r="U897" s="39">
        <f t="shared" si="14"/>
        <v>70706</v>
      </c>
      <c r="V897" s="40">
        <f>SUMIFS(Income_Tracker_Table[Amount Earned],Income_Tracker_Table[Date Received],"&gt;="&amp;T897,Income_Tracker_Table[Date Received],"&lt;="&amp;U897)</f>
        <v>0</v>
      </c>
    </row>
    <row r="898" spans="20:22" x14ac:dyDescent="0.3">
      <c r="T898" s="39">
        <v>70707</v>
      </c>
      <c r="U898" s="39">
        <f t="shared" si="14"/>
        <v>70737</v>
      </c>
      <c r="V898" s="40">
        <f>SUMIFS(Income_Tracker_Table[Amount Earned],Income_Tracker_Table[Date Received],"&gt;="&amp;T898,Income_Tracker_Table[Date Received],"&lt;="&amp;U898)</f>
        <v>0</v>
      </c>
    </row>
    <row r="899" spans="20:22" x14ac:dyDescent="0.3">
      <c r="T899" s="39">
        <v>70738</v>
      </c>
      <c r="U899" s="39">
        <f t="shared" si="14"/>
        <v>70767</v>
      </c>
      <c r="V899" s="40">
        <f>SUMIFS(Income_Tracker_Table[Amount Earned],Income_Tracker_Table[Date Received],"&gt;="&amp;T899,Income_Tracker_Table[Date Received],"&lt;="&amp;U899)</f>
        <v>0</v>
      </c>
    </row>
    <row r="900" spans="20:22" x14ac:dyDescent="0.3">
      <c r="T900" s="39">
        <v>70768</v>
      </c>
      <c r="U900" s="39">
        <f t="shared" si="14"/>
        <v>70798</v>
      </c>
      <c r="V900" s="40">
        <f>SUMIFS(Income_Tracker_Table[Amount Earned],Income_Tracker_Table[Date Received],"&gt;="&amp;T900,Income_Tracker_Table[Date Received],"&lt;="&amp;U900)</f>
        <v>0</v>
      </c>
    </row>
    <row r="901" spans="20:22" x14ac:dyDescent="0.3">
      <c r="T901" s="39">
        <v>70799</v>
      </c>
      <c r="U901" s="39">
        <f t="shared" si="14"/>
        <v>70828</v>
      </c>
      <c r="V901" s="40">
        <f>SUMIFS(Income_Tracker_Table[Amount Earned],Income_Tracker_Table[Date Received],"&gt;="&amp;T901,Income_Tracker_Table[Date Received],"&lt;="&amp;U901)</f>
        <v>0</v>
      </c>
    </row>
    <row r="902" spans="20:22" x14ac:dyDescent="0.3">
      <c r="T902" s="39">
        <v>70829</v>
      </c>
      <c r="U902" s="39">
        <f t="shared" si="14"/>
        <v>70859</v>
      </c>
      <c r="V902" s="40">
        <f>SUMIFS(Income_Tracker_Table[Amount Earned],Income_Tracker_Table[Date Received],"&gt;="&amp;T902,Income_Tracker_Table[Date Received],"&lt;="&amp;U902)</f>
        <v>0</v>
      </c>
    </row>
    <row r="903" spans="20:22" x14ac:dyDescent="0.3">
      <c r="T903" s="39">
        <v>70860</v>
      </c>
      <c r="U903" s="39">
        <f t="shared" si="14"/>
        <v>70890</v>
      </c>
      <c r="V903" s="40">
        <f>SUMIFS(Income_Tracker_Table[Amount Earned],Income_Tracker_Table[Date Received],"&gt;="&amp;T903,Income_Tracker_Table[Date Received],"&lt;="&amp;U903)</f>
        <v>0</v>
      </c>
    </row>
    <row r="904" spans="20:22" x14ac:dyDescent="0.3">
      <c r="T904" s="39">
        <v>70891</v>
      </c>
      <c r="U904" s="39">
        <f t="shared" si="14"/>
        <v>70918</v>
      </c>
      <c r="V904" s="40">
        <f>SUMIFS(Income_Tracker_Table[Amount Earned],Income_Tracker_Table[Date Received],"&gt;="&amp;T904,Income_Tracker_Table[Date Received],"&lt;="&amp;U904)</f>
        <v>0</v>
      </c>
    </row>
    <row r="905" spans="20:22" x14ac:dyDescent="0.3">
      <c r="T905" s="39">
        <v>70919</v>
      </c>
      <c r="U905" s="39">
        <f t="shared" ref="U905:U968" si="15">EOMONTH(T905,0)</f>
        <v>70949</v>
      </c>
      <c r="V905" s="40">
        <f>SUMIFS(Income_Tracker_Table[Amount Earned],Income_Tracker_Table[Date Received],"&gt;="&amp;T905,Income_Tracker_Table[Date Received],"&lt;="&amp;U905)</f>
        <v>0</v>
      </c>
    </row>
    <row r="906" spans="20:22" x14ac:dyDescent="0.3">
      <c r="T906" s="39">
        <v>70950</v>
      </c>
      <c r="U906" s="39">
        <f t="shared" si="15"/>
        <v>70979</v>
      </c>
      <c r="V906" s="40">
        <f>SUMIFS(Income_Tracker_Table[Amount Earned],Income_Tracker_Table[Date Received],"&gt;="&amp;T906,Income_Tracker_Table[Date Received],"&lt;="&amp;U906)</f>
        <v>0</v>
      </c>
    </row>
    <row r="907" spans="20:22" x14ac:dyDescent="0.3">
      <c r="T907" s="39">
        <v>70980</v>
      </c>
      <c r="U907" s="39">
        <f t="shared" si="15"/>
        <v>71010</v>
      </c>
      <c r="V907" s="40">
        <f>SUMIFS(Income_Tracker_Table[Amount Earned],Income_Tracker_Table[Date Received],"&gt;="&amp;T907,Income_Tracker_Table[Date Received],"&lt;="&amp;U907)</f>
        <v>0</v>
      </c>
    </row>
    <row r="908" spans="20:22" x14ac:dyDescent="0.3">
      <c r="T908" s="39">
        <v>71011</v>
      </c>
      <c r="U908" s="39">
        <f t="shared" si="15"/>
        <v>71040</v>
      </c>
      <c r="V908" s="40">
        <f>SUMIFS(Income_Tracker_Table[Amount Earned],Income_Tracker_Table[Date Received],"&gt;="&amp;T908,Income_Tracker_Table[Date Received],"&lt;="&amp;U908)</f>
        <v>0</v>
      </c>
    </row>
    <row r="909" spans="20:22" x14ac:dyDescent="0.3">
      <c r="T909" s="39">
        <v>71041</v>
      </c>
      <c r="U909" s="39">
        <f t="shared" si="15"/>
        <v>71071</v>
      </c>
      <c r="V909" s="40">
        <f>SUMIFS(Income_Tracker_Table[Amount Earned],Income_Tracker_Table[Date Received],"&gt;="&amp;T909,Income_Tracker_Table[Date Received],"&lt;="&amp;U909)</f>
        <v>0</v>
      </c>
    </row>
    <row r="910" spans="20:22" x14ac:dyDescent="0.3">
      <c r="T910" s="39">
        <v>71072</v>
      </c>
      <c r="U910" s="39">
        <f t="shared" si="15"/>
        <v>71102</v>
      </c>
      <c r="V910" s="40">
        <f>SUMIFS(Income_Tracker_Table[Amount Earned],Income_Tracker_Table[Date Received],"&gt;="&amp;T910,Income_Tracker_Table[Date Received],"&lt;="&amp;U910)</f>
        <v>0</v>
      </c>
    </row>
    <row r="911" spans="20:22" x14ac:dyDescent="0.3">
      <c r="T911" s="39">
        <v>71103</v>
      </c>
      <c r="U911" s="39">
        <f t="shared" si="15"/>
        <v>71132</v>
      </c>
      <c r="V911" s="40">
        <f>SUMIFS(Income_Tracker_Table[Amount Earned],Income_Tracker_Table[Date Received],"&gt;="&amp;T911,Income_Tracker_Table[Date Received],"&lt;="&amp;U911)</f>
        <v>0</v>
      </c>
    </row>
    <row r="912" spans="20:22" x14ac:dyDescent="0.3">
      <c r="T912" s="39">
        <v>71133</v>
      </c>
      <c r="U912" s="39">
        <f t="shared" si="15"/>
        <v>71163</v>
      </c>
      <c r="V912" s="40">
        <f>SUMIFS(Income_Tracker_Table[Amount Earned],Income_Tracker_Table[Date Received],"&gt;="&amp;T912,Income_Tracker_Table[Date Received],"&lt;="&amp;U912)</f>
        <v>0</v>
      </c>
    </row>
    <row r="913" spans="20:22" x14ac:dyDescent="0.3">
      <c r="T913" s="39">
        <v>71164</v>
      </c>
      <c r="U913" s="39">
        <f t="shared" si="15"/>
        <v>71193</v>
      </c>
      <c r="V913" s="40">
        <f>SUMIFS(Income_Tracker_Table[Amount Earned],Income_Tracker_Table[Date Received],"&gt;="&amp;T913,Income_Tracker_Table[Date Received],"&lt;="&amp;U913)</f>
        <v>0</v>
      </c>
    </row>
    <row r="914" spans="20:22" x14ac:dyDescent="0.3">
      <c r="T914" s="39">
        <v>71194</v>
      </c>
      <c r="U914" s="39">
        <f t="shared" si="15"/>
        <v>71224</v>
      </c>
      <c r="V914" s="40">
        <f>SUMIFS(Income_Tracker_Table[Amount Earned],Income_Tracker_Table[Date Received],"&gt;="&amp;T914,Income_Tracker_Table[Date Received],"&lt;="&amp;U914)</f>
        <v>0</v>
      </c>
    </row>
    <row r="915" spans="20:22" x14ac:dyDescent="0.3">
      <c r="T915" s="39">
        <v>71225</v>
      </c>
      <c r="U915" s="39">
        <f t="shared" si="15"/>
        <v>71255</v>
      </c>
      <c r="V915" s="40">
        <f>SUMIFS(Income_Tracker_Table[Amount Earned],Income_Tracker_Table[Date Received],"&gt;="&amp;T915,Income_Tracker_Table[Date Received],"&lt;="&amp;U915)</f>
        <v>0</v>
      </c>
    </row>
    <row r="916" spans="20:22" x14ac:dyDescent="0.3">
      <c r="T916" s="39">
        <v>71256</v>
      </c>
      <c r="U916" s="39">
        <f t="shared" si="15"/>
        <v>71283</v>
      </c>
      <c r="V916" s="40">
        <f>SUMIFS(Income_Tracker_Table[Amount Earned],Income_Tracker_Table[Date Received],"&gt;="&amp;T916,Income_Tracker_Table[Date Received],"&lt;="&amp;U916)</f>
        <v>0</v>
      </c>
    </row>
    <row r="917" spans="20:22" x14ac:dyDescent="0.3">
      <c r="T917" s="39">
        <v>71284</v>
      </c>
      <c r="U917" s="39">
        <f t="shared" si="15"/>
        <v>71314</v>
      </c>
      <c r="V917" s="40">
        <f>SUMIFS(Income_Tracker_Table[Amount Earned],Income_Tracker_Table[Date Received],"&gt;="&amp;T917,Income_Tracker_Table[Date Received],"&lt;="&amp;U917)</f>
        <v>0</v>
      </c>
    </row>
    <row r="918" spans="20:22" x14ac:dyDescent="0.3">
      <c r="T918" s="39">
        <v>71315</v>
      </c>
      <c r="U918" s="39">
        <f t="shared" si="15"/>
        <v>71344</v>
      </c>
      <c r="V918" s="40">
        <f>SUMIFS(Income_Tracker_Table[Amount Earned],Income_Tracker_Table[Date Received],"&gt;="&amp;T918,Income_Tracker_Table[Date Received],"&lt;="&amp;U918)</f>
        <v>0</v>
      </c>
    </row>
    <row r="919" spans="20:22" x14ac:dyDescent="0.3">
      <c r="T919" s="39">
        <v>71345</v>
      </c>
      <c r="U919" s="39">
        <f t="shared" si="15"/>
        <v>71375</v>
      </c>
      <c r="V919" s="40">
        <f>SUMIFS(Income_Tracker_Table[Amount Earned],Income_Tracker_Table[Date Received],"&gt;="&amp;T919,Income_Tracker_Table[Date Received],"&lt;="&amp;U919)</f>
        <v>0</v>
      </c>
    </row>
    <row r="920" spans="20:22" x14ac:dyDescent="0.3">
      <c r="T920" s="39">
        <v>71376</v>
      </c>
      <c r="U920" s="39">
        <f t="shared" si="15"/>
        <v>71405</v>
      </c>
      <c r="V920" s="40">
        <f>SUMIFS(Income_Tracker_Table[Amount Earned],Income_Tracker_Table[Date Received],"&gt;="&amp;T920,Income_Tracker_Table[Date Received],"&lt;="&amp;U920)</f>
        <v>0</v>
      </c>
    </row>
    <row r="921" spans="20:22" x14ac:dyDescent="0.3">
      <c r="T921" s="39">
        <v>71406</v>
      </c>
      <c r="U921" s="39">
        <f t="shared" si="15"/>
        <v>71436</v>
      </c>
      <c r="V921" s="40">
        <f>SUMIFS(Income_Tracker_Table[Amount Earned],Income_Tracker_Table[Date Received],"&gt;="&amp;T921,Income_Tracker_Table[Date Received],"&lt;="&amp;U921)</f>
        <v>0</v>
      </c>
    </row>
    <row r="922" spans="20:22" x14ac:dyDescent="0.3">
      <c r="T922" s="39">
        <v>71437</v>
      </c>
      <c r="U922" s="39">
        <f t="shared" si="15"/>
        <v>71467</v>
      </c>
      <c r="V922" s="40">
        <f>SUMIFS(Income_Tracker_Table[Amount Earned],Income_Tracker_Table[Date Received],"&gt;="&amp;T922,Income_Tracker_Table[Date Received],"&lt;="&amp;U922)</f>
        <v>0</v>
      </c>
    </row>
    <row r="923" spans="20:22" x14ac:dyDescent="0.3">
      <c r="T923" s="39">
        <v>71468</v>
      </c>
      <c r="U923" s="39">
        <f t="shared" si="15"/>
        <v>71497</v>
      </c>
      <c r="V923" s="40">
        <f>SUMIFS(Income_Tracker_Table[Amount Earned],Income_Tracker_Table[Date Received],"&gt;="&amp;T923,Income_Tracker_Table[Date Received],"&lt;="&amp;U923)</f>
        <v>0</v>
      </c>
    </row>
    <row r="924" spans="20:22" x14ac:dyDescent="0.3">
      <c r="T924" s="39">
        <v>71498</v>
      </c>
      <c r="U924" s="39">
        <f t="shared" si="15"/>
        <v>71528</v>
      </c>
      <c r="V924" s="40">
        <f>SUMIFS(Income_Tracker_Table[Amount Earned],Income_Tracker_Table[Date Received],"&gt;="&amp;T924,Income_Tracker_Table[Date Received],"&lt;="&amp;U924)</f>
        <v>0</v>
      </c>
    </row>
    <row r="925" spans="20:22" x14ac:dyDescent="0.3">
      <c r="T925" s="39">
        <v>71529</v>
      </c>
      <c r="U925" s="39">
        <f t="shared" si="15"/>
        <v>71558</v>
      </c>
      <c r="V925" s="40">
        <f>SUMIFS(Income_Tracker_Table[Amount Earned],Income_Tracker_Table[Date Received],"&gt;="&amp;T925,Income_Tracker_Table[Date Received],"&lt;="&amp;U925)</f>
        <v>0</v>
      </c>
    </row>
    <row r="926" spans="20:22" x14ac:dyDescent="0.3">
      <c r="T926" s="39">
        <v>71559</v>
      </c>
      <c r="U926" s="39">
        <f t="shared" si="15"/>
        <v>71589</v>
      </c>
      <c r="V926" s="40">
        <f>SUMIFS(Income_Tracker_Table[Amount Earned],Income_Tracker_Table[Date Received],"&gt;="&amp;T926,Income_Tracker_Table[Date Received],"&lt;="&amp;U926)</f>
        <v>0</v>
      </c>
    </row>
    <row r="927" spans="20:22" x14ac:dyDescent="0.3">
      <c r="T927" s="39">
        <v>71590</v>
      </c>
      <c r="U927" s="39">
        <f t="shared" si="15"/>
        <v>71620</v>
      </c>
      <c r="V927" s="40">
        <f>SUMIFS(Income_Tracker_Table[Amount Earned],Income_Tracker_Table[Date Received],"&gt;="&amp;T927,Income_Tracker_Table[Date Received],"&lt;="&amp;U927)</f>
        <v>0</v>
      </c>
    </row>
    <row r="928" spans="20:22" x14ac:dyDescent="0.3">
      <c r="T928" s="39">
        <v>71621</v>
      </c>
      <c r="U928" s="39">
        <f t="shared" si="15"/>
        <v>71649</v>
      </c>
      <c r="V928" s="40">
        <f>SUMIFS(Income_Tracker_Table[Amount Earned],Income_Tracker_Table[Date Received],"&gt;="&amp;T928,Income_Tracker_Table[Date Received],"&lt;="&amp;U928)</f>
        <v>0</v>
      </c>
    </row>
    <row r="929" spans="20:22" x14ac:dyDescent="0.3">
      <c r="T929" s="39">
        <v>71650</v>
      </c>
      <c r="U929" s="39">
        <f t="shared" si="15"/>
        <v>71680</v>
      </c>
      <c r="V929" s="40">
        <f>SUMIFS(Income_Tracker_Table[Amount Earned],Income_Tracker_Table[Date Received],"&gt;="&amp;T929,Income_Tracker_Table[Date Received],"&lt;="&amp;U929)</f>
        <v>0</v>
      </c>
    </row>
    <row r="930" spans="20:22" x14ac:dyDescent="0.3">
      <c r="T930" s="39">
        <v>71681</v>
      </c>
      <c r="U930" s="39">
        <f t="shared" si="15"/>
        <v>71710</v>
      </c>
      <c r="V930" s="40">
        <f>SUMIFS(Income_Tracker_Table[Amount Earned],Income_Tracker_Table[Date Received],"&gt;="&amp;T930,Income_Tracker_Table[Date Received],"&lt;="&amp;U930)</f>
        <v>0</v>
      </c>
    </row>
    <row r="931" spans="20:22" x14ac:dyDescent="0.3">
      <c r="T931" s="39">
        <v>71711</v>
      </c>
      <c r="U931" s="39">
        <f t="shared" si="15"/>
        <v>71741</v>
      </c>
      <c r="V931" s="40">
        <f>SUMIFS(Income_Tracker_Table[Amount Earned],Income_Tracker_Table[Date Received],"&gt;="&amp;T931,Income_Tracker_Table[Date Received],"&lt;="&amp;U931)</f>
        <v>0</v>
      </c>
    </row>
    <row r="932" spans="20:22" x14ac:dyDescent="0.3">
      <c r="T932" s="39">
        <v>71742</v>
      </c>
      <c r="U932" s="39">
        <f t="shared" si="15"/>
        <v>71771</v>
      </c>
      <c r="V932" s="40">
        <f>SUMIFS(Income_Tracker_Table[Amount Earned],Income_Tracker_Table[Date Received],"&gt;="&amp;T932,Income_Tracker_Table[Date Received],"&lt;="&amp;U932)</f>
        <v>0</v>
      </c>
    </row>
    <row r="933" spans="20:22" x14ac:dyDescent="0.3">
      <c r="T933" s="39">
        <v>71772</v>
      </c>
      <c r="U933" s="39">
        <f t="shared" si="15"/>
        <v>71802</v>
      </c>
      <c r="V933" s="40">
        <f>SUMIFS(Income_Tracker_Table[Amount Earned],Income_Tracker_Table[Date Received],"&gt;="&amp;T933,Income_Tracker_Table[Date Received],"&lt;="&amp;U933)</f>
        <v>0</v>
      </c>
    </row>
    <row r="934" spans="20:22" x14ac:dyDescent="0.3">
      <c r="T934" s="39">
        <v>71803</v>
      </c>
      <c r="U934" s="39">
        <f t="shared" si="15"/>
        <v>71833</v>
      </c>
      <c r="V934" s="40">
        <f>SUMIFS(Income_Tracker_Table[Amount Earned],Income_Tracker_Table[Date Received],"&gt;="&amp;T934,Income_Tracker_Table[Date Received],"&lt;="&amp;U934)</f>
        <v>0</v>
      </c>
    </row>
    <row r="935" spans="20:22" x14ac:dyDescent="0.3">
      <c r="T935" s="39">
        <v>71834</v>
      </c>
      <c r="U935" s="39">
        <f t="shared" si="15"/>
        <v>71863</v>
      </c>
      <c r="V935" s="40">
        <f>SUMIFS(Income_Tracker_Table[Amount Earned],Income_Tracker_Table[Date Received],"&gt;="&amp;T935,Income_Tracker_Table[Date Received],"&lt;="&amp;U935)</f>
        <v>0</v>
      </c>
    </row>
    <row r="936" spans="20:22" x14ac:dyDescent="0.3">
      <c r="T936" s="39">
        <v>71864</v>
      </c>
      <c r="U936" s="39">
        <f t="shared" si="15"/>
        <v>71894</v>
      </c>
      <c r="V936" s="40">
        <f>SUMIFS(Income_Tracker_Table[Amount Earned],Income_Tracker_Table[Date Received],"&gt;="&amp;T936,Income_Tracker_Table[Date Received],"&lt;="&amp;U936)</f>
        <v>0</v>
      </c>
    </row>
    <row r="937" spans="20:22" x14ac:dyDescent="0.3">
      <c r="T937" s="39">
        <v>71895</v>
      </c>
      <c r="U937" s="39">
        <f t="shared" si="15"/>
        <v>71924</v>
      </c>
      <c r="V937" s="40">
        <f>SUMIFS(Income_Tracker_Table[Amount Earned],Income_Tracker_Table[Date Received],"&gt;="&amp;T937,Income_Tracker_Table[Date Received],"&lt;="&amp;U937)</f>
        <v>0</v>
      </c>
    </row>
    <row r="938" spans="20:22" x14ac:dyDescent="0.3">
      <c r="T938" s="39">
        <v>71925</v>
      </c>
      <c r="U938" s="39">
        <f t="shared" si="15"/>
        <v>71955</v>
      </c>
      <c r="V938" s="40">
        <f>SUMIFS(Income_Tracker_Table[Amount Earned],Income_Tracker_Table[Date Received],"&gt;="&amp;T938,Income_Tracker_Table[Date Received],"&lt;="&amp;U938)</f>
        <v>0</v>
      </c>
    </row>
    <row r="939" spans="20:22" x14ac:dyDescent="0.3">
      <c r="T939" s="39">
        <v>71956</v>
      </c>
      <c r="U939" s="39">
        <f t="shared" si="15"/>
        <v>71986</v>
      </c>
      <c r="V939" s="40">
        <f>SUMIFS(Income_Tracker_Table[Amount Earned],Income_Tracker_Table[Date Received],"&gt;="&amp;T939,Income_Tracker_Table[Date Received],"&lt;="&amp;U939)</f>
        <v>0</v>
      </c>
    </row>
    <row r="940" spans="20:22" x14ac:dyDescent="0.3">
      <c r="T940" s="39">
        <v>71987</v>
      </c>
      <c r="U940" s="39">
        <f t="shared" si="15"/>
        <v>72014</v>
      </c>
      <c r="V940" s="40">
        <f>SUMIFS(Income_Tracker_Table[Amount Earned],Income_Tracker_Table[Date Received],"&gt;="&amp;T940,Income_Tracker_Table[Date Received],"&lt;="&amp;U940)</f>
        <v>0</v>
      </c>
    </row>
    <row r="941" spans="20:22" x14ac:dyDescent="0.3">
      <c r="T941" s="39">
        <v>72015</v>
      </c>
      <c r="U941" s="39">
        <f t="shared" si="15"/>
        <v>72045</v>
      </c>
      <c r="V941" s="40">
        <f>SUMIFS(Income_Tracker_Table[Amount Earned],Income_Tracker_Table[Date Received],"&gt;="&amp;T941,Income_Tracker_Table[Date Received],"&lt;="&amp;U941)</f>
        <v>0</v>
      </c>
    </row>
    <row r="942" spans="20:22" x14ac:dyDescent="0.3">
      <c r="T942" s="39">
        <v>72046</v>
      </c>
      <c r="U942" s="39">
        <f t="shared" si="15"/>
        <v>72075</v>
      </c>
      <c r="V942" s="40">
        <f>SUMIFS(Income_Tracker_Table[Amount Earned],Income_Tracker_Table[Date Received],"&gt;="&amp;T942,Income_Tracker_Table[Date Received],"&lt;="&amp;U942)</f>
        <v>0</v>
      </c>
    </row>
    <row r="943" spans="20:22" x14ac:dyDescent="0.3">
      <c r="T943" s="39">
        <v>72076</v>
      </c>
      <c r="U943" s="39">
        <f t="shared" si="15"/>
        <v>72106</v>
      </c>
      <c r="V943" s="40">
        <f>SUMIFS(Income_Tracker_Table[Amount Earned],Income_Tracker_Table[Date Received],"&gt;="&amp;T943,Income_Tracker_Table[Date Received],"&lt;="&amp;U943)</f>
        <v>0</v>
      </c>
    </row>
    <row r="944" spans="20:22" x14ac:dyDescent="0.3">
      <c r="T944" s="39">
        <v>72107</v>
      </c>
      <c r="U944" s="39">
        <f t="shared" si="15"/>
        <v>72136</v>
      </c>
      <c r="V944" s="40">
        <f>SUMIFS(Income_Tracker_Table[Amount Earned],Income_Tracker_Table[Date Received],"&gt;="&amp;T944,Income_Tracker_Table[Date Received],"&lt;="&amp;U944)</f>
        <v>0</v>
      </c>
    </row>
    <row r="945" spans="20:22" x14ac:dyDescent="0.3">
      <c r="T945" s="39">
        <v>72137</v>
      </c>
      <c r="U945" s="39">
        <f t="shared" si="15"/>
        <v>72167</v>
      </c>
      <c r="V945" s="40">
        <f>SUMIFS(Income_Tracker_Table[Amount Earned],Income_Tracker_Table[Date Received],"&gt;="&amp;T945,Income_Tracker_Table[Date Received],"&lt;="&amp;U945)</f>
        <v>0</v>
      </c>
    </row>
    <row r="946" spans="20:22" x14ac:dyDescent="0.3">
      <c r="T946" s="39">
        <v>72168</v>
      </c>
      <c r="U946" s="39">
        <f t="shared" si="15"/>
        <v>72198</v>
      </c>
      <c r="V946" s="40">
        <f>SUMIFS(Income_Tracker_Table[Amount Earned],Income_Tracker_Table[Date Received],"&gt;="&amp;T946,Income_Tracker_Table[Date Received],"&lt;="&amp;U946)</f>
        <v>0</v>
      </c>
    </row>
    <row r="947" spans="20:22" x14ac:dyDescent="0.3">
      <c r="T947" s="39">
        <v>72199</v>
      </c>
      <c r="U947" s="39">
        <f t="shared" si="15"/>
        <v>72228</v>
      </c>
      <c r="V947" s="40">
        <f>SUMIFS(Income_Tracker_Table[Amount Earned],Income_Tracker_Table[Date Received],"&gt;="&amp;T947,Income_Tracker_Table[Date Received],"&lt;="&amp;U947)</f>
        <v>0</v>
      </c>
    </row>
    <row r="948" spans="20:22" x14ac:dyDescent="0.3">
      <c r="T948" s="39">
        <v>72229</v>
      </c>
      <c r="U948" s="39">
        <f t="shared" si="15"/>
        <v>72259</v>
      </c>
      <c r="V948" s="40">
        <f>SUMIFS(Income_Tracker_Table[Amount Earned],Income_Tracker_Table[Date Received],"&gt;="&amp;T948,Income_Tracker_Table[Date Received],"&lt;="&amp;U948)</f>
        <v>0</v>
      </c>
    </row>
    <row r="949" spans="20:22" x14ac:dyDescent="0.3">
      <c r="T949" s="39">
        <v>72260</v>
      </c>
      <c r="U949" s="39">
        <f t="shared" si="15"/>
        <v>72289</v>
      </c>
      <c r="V949" s="40">
        <f>SUMIFS(Income_Tracker_Table[Amount Earned],Income_Tracker_Table[Date Received],"&gt;="&amp;T949,Income_Tracker_Table[Date Received],"&lt;="&amp;U949)</f>
        <v>0</v>
      </c>
    </row>
    <row r="950" spans="20:22" x14ac:dyDescent="0.3">
      <c r="T950" s="39">
        <v>72290</v>
      </c>
      <c r="U950" s="39">
        <f t="shared" si="15"/>
        <v>72320</v>
      </c>
      <c r="V950" s="40">
        <f>SUMIFS(Income_Tracker_Table[Amount Earned],Income_Tracker_Table[Date Received],"&gt;="&amp;T950,Income_Tracker_Table[Date Received],"&lt;="&amp;U950)</f>
        <v>0</v>
      </c>
    </row>
    <row r="951" spans="20:22" x14ac:dyDescent="0.3">
      <c r="T951" s="39">
        <v>72321</v>
      </c>
      <c r="U951" s="39">
        <f t="shared" si="15"/>
        <v>72351</v>
      </c>
      <c r="V951" s="40">
        <f>SUMIFS(Income_Tracker_Table[Amount Earned],Income_Tracker_Table[Date Received],"&gt;="&amp;T951,Income_Tracker_Table[Date Received],"&lt;="&amp;U951)</f>
        <v>0</v>
      </c>
    </row>
    <row r="952" spans="20:22" x14ac:dyDescent="0.3">
      <c r="T952" s="39">
        <v>72352</v>
      </c>
      <c r="U952" s="39">
        <f t="shared" si="15"/>
        <v>72379</v>
      </c>
      <c r="V952" s="40">
        <f>SUMIFS(Income_Tracker_Table[Amount Earned],Income_Tracker_Table[Date Received],"&gt;="&amp;T952,Income_Tracker_Table[Date Received],"&lt;="&amp;U952)</f>
        <v>0</v>
      </c>
    </row>
    <row r="953" spans="20:22" x14ac:dyDescent="0.3">
      <c r="T953" s="39">
        <v>72380</v>
      </c>
      <c r="U953" s="39">
        <f t="shared" si="15"/>
        <v>72410</v>
      </c>
      <c r="V953" s="40">
        <f>SUMIFS(Income_Tracker_Table[Amount Earned],Income_Tracker_Table[Date Received],"&gt;="&amp;T953,Income_Tracker_Table[Date Received],"&lt;="&amp;U953)</f>
        <v>0</v>
      </c>
    </row>
    <row r="954" spans="20:22" x14ac:dyDescent="0.3">
      <c r="T954" s="39">
        <v>72411</v>
      </c>
      <c r="U954" s="39">
        <f t="shared" si="15"/>
        <v>72440</v>
      </c>
      <c r="V954" s="40">
        <f>SUMIFS(Income_Tracker_Table[Amount Earned],Income_Tracker_Table[Date Received],"&gt;="&amp;T954,Income_Tracker_Table[Date Received],"&lt;="&amp;U954)</f>
        <v>0</v>
      </c>
    </row>
    <row r="955" spans="20:22" x14ac:dyDescent="0.3">
      <c r="T955" s="39">
        <v>72441</v>
      </c>
      <c r="U955" s="39">
        <f t="shared" si="15"/>
        <v>72471</v>
      </c>
      <c r="V955" s="40">
        <f>SUMIFS(Income_Tracker_Table[Amount Earned],Income_Tracker_Table[Date Received],"&gt;="&amp;T955,Income_Tracker_Table[Date Received],"&lt;="&amp;U955)</f>
        <v>0</v>
      </c>
    </row>
    <row r="956" spans="20:22" x14ac:dyDescent="0.3">
      <c r="T956" s="39">
        <v>72472</v>
      </c>
      <c r="U956" s="39">
        <f t="shared" si="15"/>
        <v>72501</v>
      </c>
      <c r="V956" s="40">
        <f>SUMIFS(Income_Tracker_Table[Amount Earned],Income_Tracker_Table[Date Received],"&gt;="&amp;T956,Income_Tracker_Table[Date Received],"&lt;="&amp;U956)</f>
        <v>0</v>
      </c>
    </row>
    <row r="957" spans="20:22" x14ac:dyDescent="0.3">
      <c r="T957" s="39">
        <v>72502</v>
      </c>
      <c r="U957" s="39">
        <f t="shared" si="15"/>
        <v>72532</v>
      </c>
      <c r="V957" s="40">
        <f>SUMIFS(Income_Tracker_Table[Amount Earned],Income_Tracker_Table[Date Received],"&gt;="&amp;T957,Income_Tracker_Table[Date Received],"&lt;="&amp;U957)</f>
        <v>0</v>
      </c>
    </row>
    <row r="958" spans="20:22" x14ac:dyDescent="0.3">
      <c r="T958" s="39">
        <v>72533</v>
      </c>
      <c r="U958" s="39">
        <f t="shared" si="15"/>
        <v>72563</v>
      </c>
      <c r="V958" s="40">
        <f>SUMIFS(Income_Tracker_Table[Amount Earned],Income_Tracker_Table[Date Received],"&gt;="&amp;T958,Income_Tracker_Table[Date Received],"&lt;="&amp;U958)</f>
        <v>0</v>
      </c>
    </row>
    <row r="959" spans="20:22" x14ac:dyDescent="0.3">
      <c r="T959" s="39">
        <v>72564</v>
      </c>
      <c r="U959" s="39">
        <f t="shared" si="15"/>
        <v>72593</v>
      </c>
      <c r="V959" s="40">
        <f>SUMIFS(Income_Tracker_Table[Amount Earned],Income_Tracker_Table[Date Received],"&gt;="&amp;T959,Income_Tracker_Table[Date Received],"&lt;="&amp;U959)</f>
        <v>0</v>
      </c>
    </row>
    <row r="960" spans="20:22" x14ac:dyDescent="0.3">
      <c r="T960" s="39">
        <v>72594</v>
      </c>
      <c r="U960" s="39">
        <f t="shared" si="15"/>
        <v>72624</v>
      </c>
      <c r="V960" s="40">
        <f>SUMIFS(Income_Tracker_Table[Amount Earned],Income_Tracker_Table[Date Received],"&gt;="&amp;T960,Income_Tracker_Table[Date Received],"&lt;="&amp;U960)</f>
        <v>0</v>
      </c>
    </row>
    <row r="961" spans="20:22" x14ac:dyDescent="0.3">
      <c r="T961" s="39">
        <v>72625</v>
      </c>
      <c r="U961" s="39">
        <f t="shared" si="15"/>
        <v>72654</v>
      </c>
      <c r="V961" s="40">
        <f>SUMIFS(Income_Tracker_Table[Amount Earned],Income_Tracker_Table[Date Received],"&gt;="&amp;T961,Income_Tracker_Table[Date Received],"&lt;="&amp;U961)</f>
        <v>0</v>
      </c>
    </row>
    <row r="962" spans="20:22" x14ac:dyDescent="0.3">
      <c r="T962" s="39">
        <v>72655</v>
      </c>
      <c r="U962" s="39">
        <f t="shared" si="15"/>
        <v>72685</v>
      </c>
      <c r="V962" s="40">
        <f>SUMIFS(Income_Tracker_Table[Amount Earned],Income_Tracker_Table[Date Received],"&gt;="&amp;T962,Income_Tracker_Table[Date Received],"&lt;="&amp;U962)</f>
        <v>0</v>
      </c>
    </row>
    <row r="963" spans="20:22" x14ac:dyDescent="0.3">
      <c r="T963" s="39">
        <v>72686</v>
      </c>
      <c r="U963" s="39">
        <f t="shared" si="15"/>
        <v>72716</v>
      </c>
      <c r="V963" s="40">
        <f>SUMIFS(Income_Tracker_Table[Amount Earned],Income_Tracker_Table[Date Received],"&gt;="&amp;T963,Income_Tracker_Table[Date Received],"&lt;="&amp;U963)</f>
        <v>0</v>
      </c>
    </row>
    <row r="964" spans="20:22" x14ac:dyDescent="0.3">
      <c r="T964" s="39">
        <v>72717</v>
      </c>
      <c r="U964" s="39">
        <f t="shared" si="15"/>
        <v>72744</v>
      </c>
      <c r="V964" s="40">
        <f>SUMIFS(Income_Tracker_Table[Amount Earned],Income_Tracker_Table[Date Received],"&gt;="&amp;T964,Income_Tracker_Table[Date Received],"&lt;="&amp;U964)</f>
        <v>0</v>
      </c>
    </row>
    <row r="965" spans="20:22" x14ac:dyDescent="0.3">
      <c r="T965" s="39">
        <v>72745</v>
      </c>
      <c r="U965" s="39">
        <f t="shared" si="15"/>
        <v>72775</v>
      </c>
      <c r="V965" s="40">
        <f>SUMIFS(Income_Tracker_Table[Amount Earned],Income_Tracker_Table[Date Received],"&gt;="&amp;T965,Income_Tracker_Table[Date Received],"&lt;="&amp;U965)</f>
        <v>0</v>
      </c>
    </row>
    <row r="966" spans="20:22" x14ac:dyDescent="0.3">
      <c r="T966" s="39">
        <v>72776</v>
      </c>
      <c r="U966" s="39">
        <f t="shared" si="15"/>
        <v>72805</v>
      </c>
      <c r="V966" s="40">
        <f>SUMIFS(Income_Tracker_Table[Amount Earned],Income_Tracker_Table[Date Received],"&gt;="&amp;T966,Income_Tracker_Table[Date Received],"&lt;="&amp;U966)</f>
        <v>0</v>
      </c>
    </row>
    <row r="967" spans="20:22" x14ac:dyDescent="0.3">
      <c r="T967" s="39">
        <v>72806</v>
      </c>
      <c r="U967" s="39">
        <f t="shared" si="15"/>
        <v>72836</v>
      </c>
      <c r="V967" s="40">
        <f>SUMIFS(Income_Tracker_Table[Amount Earned],Income_Tracker_Table[Date Received],"&gt;="&amp;T967,Income_Tracker_Table[Date Received],"&lt;="&amp;U967)</f>
        <v>0</v>
      </c>
    </row>
    <row r="968" spans="20:22" x14ac:dyDescent="0.3">
      <c r="T968" s="39">
        <v>72837</v>
      </c>
      <c r="U968" s="39">
        <f t="shared" si="15"/>
        <v>72866</v>
      </c>
      <c r="V968" s="40">
        <f>SUMIFS(Income_Tracker_Table[Amount Earned],Income_Tracker_Table[Date Received],"&gt;="&amp;T968,Income_Tracker_Table[Date Received],"&lt;="&amp;U968)</f>
        <v>0</v>
      </c>
    </row>
    <row r="969" spans="20:22" x14ac:dyDescent="0.3">
      <c r="T969" s="39">
        <v>72867</v>
      </c>
      <c r="U969" s="39">
        <f t="shared" ref="U969:U974" si="16">EOMONTH(T969,0)</f>
        <v>72897</v>
      </c>
      <c r="V969" s="40">
        <f>SUMIFS(Income_Tracker_Table[Amount Earned],Income_Tracker_Table[Date Received],"&gt;="&amp;T969,Income_Tracker_Table[Date Received],"&lt;="&amp;U969)</f>
        <v>0</v>
      </c>
    </row>
    <row r="970" spans="20:22" x14ac:dyDescent="0.3">
      <c r="T970" s="39">
        <v>72898</v>
      </c>
      <c r="U970" s="39">
        <f t="shared" si="16"/>
        <v>72928</v>
      </c>
      <c r="V970" s="40">
        <f>SUMIFS(Income_Tracker_Table[Amount Earned],Income_Tracker_Table[Date Received],"&gt;="&amp;T970,Income_Tracker_Table[Date Received],"&lt;="&amp;U970)</f>
        <v>0</v>
      </c>
    </row>
    <row r="971" spans="20:22" x14ac:dyDescent="0.3">
      <c r="T971" s="39">
        <v>72929</v>
      </c>
      <c r="U971" s="39">
        <f t="shared" si="16"/>
        <v>72958</v>
      </c>
      <c r="V971" s="40">
        <f>SUMIFS(Income_Tracker_Table[Amount Earned],Income_Tracker_Table[Date Received],"&gt;="&amp;T971,Income_Tracker_Table[Date Received],"&lt;="&amp;U971)</f>
        <v>0</v>
      </c>
    </row>
    <row r="972" spans="20:22" x14ac:dyDescent="0.3">
      <c r="T972" s="39">
        <v>72959</v>
      </c>
      <c r="U972" s="39">
        <f t="shared" si="16"/>
        <v>72989</v>
      </c>
      <c r="V972" s="40">
        <f>SUMIFS(Income_Tracker_Table[Amount Earned],Income_Tracker_Table[Date Received],"&gt;="&amp;T972,Income_Tracker_Table[Date Received],"&lt;="&amp;U972)</f>
        <v>0</v>
      </c>
    </row>
    <row r="973" spans="20:22" x14ac:dyDescent="0.3">
      <c r="T973" s="39">
        <v>72990</v>
      </c>
      <c r="U973" s="39">
        <f t="shared" si="16"/>
        <v>73019</v>
      </c>
      <c r="V973" s="40">
        <f>SUMIFS(Income_Tracker_Table[Amount Earned],Income_Tracker_Table[Date Received],"&gt;="&amp;T973,Income_Tracker_Table[Date Received],"&lt;="&amp;U973)</f>
        <v>0</v>
      </c>
    </row>
    <row r="974" spans="20:22" x14ac:dyDescent="0.3">
      <c r="T974" s="39">
        <v>73020</v>
      </c>
      <c r="U974" s="39">
        <f t="shared" si="16"/>
        <v>73050</v>
      </c>
      <c r="V974" s="40">
        <f>SUMIFS(Income_Tracker_Table[Amount Earned],Income_Tracker_Table[Date Received],"&gt;="&amp;T974,Income_Tracker_Table[Date Received],"&lt;="&amp;U974)</f>
        <v>0</v>
      </c>
    </row>
  </sheetData>
  <mergeCells count="1">
    <mergeCell ref="B1:E1"/>
  </mergeCells>
  <dataValidations xWindow="1167" yWindow="785" count="3">
    <dataValidation type="list" allowBlank="1" showInputMessage="1" showErrorMessage="1" errorTitle="Invalid Entry" error="You tried to enter something other than Matt or Emma." promptTitle="Valid Entry" prompt="Matt and Emma are the only Valid Entries" sqref="B3:B1048576" xr:uid="{4E12824A-EA27-476C-A436-5A1BBA8B9273}">
      <formula1>"Matt,Emma"</formula1>
    </dataValidation>
    <dataValidation type="decimal" operator="greaterThan" allowBlank="1" showInputMessage="1" showErrorMessage="1" errorTitle="Invalid Entry" error="You can't enter an amount less than $0 or a non-numeric value." promptTitle="Valid Entry" prompt="The amount Entered must be greater that $0 to be valid." sqref="D3:D1048576" xr:uid="{D26CB03F-4B19-40BB-AC3C-32B9429D3AAC}">
      <formula1>0</formula1>
    </dataValidation>
    <dataValidation type="date" allowBlank="1" showInputMessage="1" showErrorMessage="1" errorTitle="Invalid Entry" error="You either tried input a date that is before 01/01/2010 or you entered something that isn't a date." promptTitle="Valid Entry" prompt="You must input a date here that is on or after 01/01/2010." sqref="E3:E1048576" xr:uid="{D707DD0B-2A5A-4CF2-BE53-C111A7202389}">
      <formula1>40179</formula1>
      <formula2>2958101</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167" yWindow="785" count="1">
        <x14:dataValidation type="list" allowBlank="1" showInputMessage="1" showErrorMessage="1" errorTitle="Invalid Entry" error="You didn't choose one of the enrtires from the dropdown list." promptTitle="Valid Entry" prompt="Choose one of the enrtires from the dropdown list." xr:uid="{5F327C7D-400B-476B-82BC-33B237EBE4A9}">
          <x14:formula1>
            <xm:f>'Do Not Touch'!$H$5:$H$19</xm:f>
          </x14:formula1>
          <xm:sqref>C3:C1048576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BE3B3-4BCE-4C95-8D37-2CE56F3AD33C}">
  <sheetPr codeName="Sheet2">
    <tabColor rgb="FF00B050"/>
  </sheetPr>
  <dimension ref="B20:E29"/>
  <sheetViews>
    <sheetView topLeftCell="B1" zoomScale="90" zoomScaleNormal="90" workbookViewId="0">
      <selection activeCell="H4" sqref="H4"/>
    </sheetView>
  </sheetViews>
  <sheetFormatPr defaultRowHeight="14.4" x14ac:dyDescent="0.3"/>
  <cols>
    <col min="2" max="2" width="21.21875" bestFit="1" customWidth="1"/>
    <col min="3" max="3" width="16" bestFit="1" customWidth="1"/>
    <col min="4" max="4" width="5.109375" bestFit="1" customWidth="1"/>
    <col min="5" max="6" width="11.21875" bestFit="1" customWidth="1"/>
  </cols>
  <sheetData>
    <row r="20" spans="2:5" x14ac:dyDescent="0.3">
      <c r="B20" s="4" t="s">
        <v>14</v>
      </c>
      <c r="C20" s="4" t="s">
        <v>15</v>
      </c>
    </row>
    <row r="21" spans="2:5" x14ac:dyDescent="0.3">
      <c r="B21" s="4" t="s">
        <v>16</v>
      </c>
      <c r="C21" t="s">
        <v>10</v>
      </c>
      <c r="D21" t="s">
        <v>8</v>
      </c>
      <c r="E21" t="s">
        <v>17</v>
      </c>
    </row>
    <row r="22" spans="2:5" x14ac:dyDescent="0.3">
      <c r="B22" s="5" t="s">
        <v>18</v>
      </c>
      <c r="C22" s="3"/>
      <c r="D22" s="3"/>
      <c r="E22" s="3"/>
    </row>
    <row r="23" spans="2:5" x14ac:dyDescent="0.3">
      <c r="B23" s="48" t="s">
        <v>19</v>
      </c>
      <c r="C23" s="3">
        <v>4050</v>
      </c>
      <c r="D23" s="3">
        <v>100</v>
      </c>
      <c r="E23" s="3">
        <v>4150</v>
      </c>
    </row>
    <row r="24" spans="2:5" x14ac:dyDescent="0.3">
      <c r="B24" s="48" t="s">
        <v>20</v>
      </c>
      <c r="C24" s="3">
        <v>4050</v>
      </c>
      <c r="D24" s="3">
        <v>4000</v>
      </c>
      <c r="E24" s="3">
        <v>8050</v>
      </c>
    </row>
    <row r="25" spans="2:5" x14ac:dyDescent="0.3">
      <c r="B25" s="48" t="s">
        <v>21</v>
      </c>
      <c r="C25" s="3">
        <v>4050</v>
      </c>
      <c r="D25" s="3">
        <v>300</v>
      </c>
      <c r="E25" s="3">
        <v>4350</v>
      </c>
    </row>
    <row r="26" spans="2:5" x14ac:dyDescent="0.3">
      <c r="B26" s="48" t="s">
        <v>22</v>
      </c>
      <c r="C26" s="3">
        <v>2000</v>
      </c>
      <c r="D26" s="3"/>
      <c r="E26" s="3">
        <v>2000</v>
      </c>
    </row>
    <row r="27" spans="2:5" x14ac:dyDescent="0.3">
      <c r="B27" s="5" t="s">
        <v>69</v>
      </c>
      <c r="C27" s="3"/>
      <c r="D27" s="3"/>
      <c r="E27" s="3"/>
    </row>
    <row r="28" spans="2:5" x14ac:dyDescent="0.3">
      <c r="B28" s="48" t="s">
        <v>19</v>
      </c>
      <c r="C28" s="3">
        <v>10000</v>
      </c>
      <c r="D28" s="3"/>
      <c r="E28" s="3">
        <v>10000</v>
      </c>
    </row>
    <row r="29" spans="2:5" x14ac:dyDescent="0.3">
      <c r="B29" s="5" t="s">
        <v>17</v>
      </c>
      <c r="C29" s="3">
        <v>24150</v>
      </c>
      <c r="D29" s="3">
        <v>4400</v>
      </c>
      <c r="E29" s="3">
        <v>28550</v>
      </c>
    </row>
  </sheetData>
  <pageMargins left="0.7" right="0.7" top="0.75" bottom="0.75" header="0.3" footer="0.3"/>
  <pageSetup orientation="portrait" horizontalDpi="4294967293"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F5B2-4B34-4395-B8F2-BBD2EADBD120}">
  <sheetPr codeName="Sheet3">
    <tabColor rgb="FFFF0000"/>
  </sheetPr>
  <dimension ref="B1:V974"/>
  <sheetViews>
    <sheetView workbookViewId="0">
      <pane ySplit="2" topLeftCell="A9" activePane="bottomLeft" state="frozen"/>
      <selection pane="bottomLeft" activeCell="F22" sqref="F22"/>
    </sheetView>
  </sheetViews>
  <sheetFormatPr defaultColWidth="8.6640625" defaultRowHeight="14.4" x14ac:dyDescent="0.3"/>
  <cols>
    <col min="1" max="1" width="8.6640625" style="28"/>
    <col min="2" max="2" width="8.6640625" style="18"/>
    <col min="3" max="3" width="13.5546875" style="18" bestFit="1" customWidth="1"/>
    <col min="4" max="4" width="15.88671875" style="19" customWidth="1"/>
    <col min="5" max="5" width="14.6640625" style="20" bestFit="1" customWidth="1"/>
    <col min="6" max="6" width="22.44140625" style="18" customWidth="1"/>
    <col min="7" max="7" width="8.6640625" style="28"/>
    <col min="8" max="8" width="11.109375" style="28" bestFit="1" customWidth="1"/>
    <col min="9" max="9" width="19.44140625" style="28" bestFit="1" customWidth="1"/>
    <col min="10" max="10" width="15.33203125" style="28" bestFit="1" customWidth="1"/>
    <col min="11" max="11" width="5.6640625" style="28" bestFit="1" customWidth="1"/>
    <col min="12" max="13" width="10.6640625" style="28" bestFit="1" customWidth="1"/>
    <col min="14" max="14" width="5.6640625" style="28" bestFit="1" customWidth="1"/>
    <col min="15" max="15" width="12.6640625" style="28" bestFit="1" customWidth="1"/>
    <col min="16" max="16" width="13.109375" style="28" bestFit="1" customWidth="1"/>
    <col min="17" max="17" width="12.33203125" style="28" bestFit="1" customWidth="1"/>
    <col min="18" max="19" width="8.6640625" style="28"/>
    <col min="20" max="20" width="13.109375" style="28" bestFit="1" customWidth="1"/>
    <col min="21" max="21" width="12.33203125" style="28" bestFit="1" customWidth="1"/>
    <col min="22" max="22" width="10.109375" style="29" bestFit="1" customWidth="1"/>
    <col min="23" max="16384" width="8.6640625" style="28"/>
  </cols>
  <sheetData>
    <row r="1" spans="2:22" ht="23.4" x14ac:dyDescent="0.45">
      <c r="B1" s="42" t="s">
        <v>23</v>
      </c>
      <c r="C1" s="43"/>
      <c r="D1" s="43"/>
      <c r="E1" s="43"/>
      <c r="F1" s="43"/>
      <c r="V1" s="28"/>
    </row>
    <row r="2" spans="2:22" x14ac:dyDescent="0.3">
      <c r="B2" s="28" t="s">
        <v>1</v>
      </c>
      <c r="C2" s="28" t="s">
        <v>24</v>
      </c>
      <c r="D2" s="29" t="s">
        <v>25</v>
      </c>
      <c r="E2" s="30" t="s">
        <v>70</v>
      </c>
      <c r="F2" s="28" t="s">
        <v>26</v>
      </c>
      <c r="T2" s="21" t="s">
        <v>5</v>
      </c>
      <c r="U2" s="22" t="s">
        <v>6</v>
      </c>
      <c r="V2" s="22" t="s">
        <v>27</v>
      </c>
    </row>
    <row r="3" spans="2:22" x14ac:dyDescent="0.3">
      <c r="B3" s="18" t="s">
        <v>8</v>
      </c>
      <c r="C3" s="18" t="s">
        <v>28</v>
      </c>
      <c r="D3" s="19">
        <v>20</v>
      </c>
      <c r="E3" s="20">
        <v>43466</v>
      </c>
      <c r="F3" s="18" t="s">
        <v>29</v>
      </c>
      <c r="H3" s="29"/>
      <c r="T3" s="23">
        <v>43466</v>
      </c>
      <c r="U3" s="23">
        <f t="shared" ref="U3:U8" si="0">EOMONTH(T3,0)</f>
        <v>43496</v>
      </c>
      <c r="V3" s="24">
        <f>SUMIFS(Expense_Tracker_Table[Amount Spent],Expense_Tracker_Table[Expense Date],"&gt;="&amp;T3,Expense_Tracker_Table[Expense Date],"&lt;="&amp;U3)</f>
        <v>7750</v>
      </c>
    </row>
    <row r="4" spans="2:22" x14ac:dyDescent="0.3">
      <c r="B4" s="18" t="s">
        <v>10</v>
      </c>
      <c r="C4" s="18" t="s">
        <v>30</v>
      </c>
      <c r="D4" s="19">
        <v>30</v>
      </c>
      <c r="E4" s="20">
        <v>43470</v>
      </c>
      <c r="F4" s="18" t="s">
        <v>31</v>
      </c>
      <c r="H4" s="29"/>
      <c r="T4" s="25">
        <v>43497</v>
      </c>
      <c r="U4" s="25">
        <f t="shared" si="0"/>
        <v>43524</v>
      </c>
      <c r="V4" s="26">
        <f>SUMIFS(Expense_Tracker_Table[Amount Spent],Expense_Tracker_Table[Expense Date],"&gt;="&amp;T4,Expense_Tracker_Table[Expense Date],"&lt;="&amp;U4)</f>
        <v>2740</v>
      </c>
    </row>
    <row r="5" spans="2:22" x14ac:dyDescent="0.3">
      <c r="B5" s="18" t="s">
        <v>8</v>
      </c>
      <c r="C5" s="18" t="s">
        <v>28</v>
      </c>
      <c r="D5" s="19">
        <v>5000</v>
      </c>
      <c r="E5" s="20">
        <v>43482</v>
      </c>
      <c r="F5" s="18" t="s">
        <v>32</v>
      </c>
      <c r="H5" s="29"/>
      <c r="T5" s="25">
        <v>43525</v>
      </c>
      <c r="U5" s="25">
        <f t="shared" si="0"/>
        <v>43555</v>
      </c>
      <c r="V5" s="26">
        <f>SUMIFS(Expense_Tracker_Table[Amount Spent],Expense_Tracker_Table[Expense Date],"&gt;="&amp;T5,Expense_Tracker_Table[Expense Date],"&lt;="&amp;U5)</f>
        <v>4000</v>
      </c>
    </row>
    <row r="6" spans="2:22" x14ac:dyDescent="0.3">
      <c r="B6" s="18" t="s">
        <v>10</v>
      </c>
      <c r="C6" s="18" t="s">
        <v>28</v>
      </c>
      <c r="D6" s="19">
        <v>1200</v>
      </c>
      <c r="E6" s="20">
        <v>43496</v>
      </c>
      <c r="F6" s="18" t="s">
        <v>33</v>
      </c>
      <c r="H6" s="29"/>
      <c r="T6" s="25">
        <v>43556</v>
      </c>
      <c r="U6" s="25">
        <f t="shared" si="0"/>
        <v>43585</v>
      </c>
      <c r="V6" s="24">
        <f>SUMIFS(Expense_Tracker_Table[Amount Spent],Expense_Tracker_Table[Expense Date],"&gt;="&amp;T6,Expense_Tracker_Table[Expense Date],"&lt;="&amp;U6)</f>
        <v>2400</v>
      </c>
    </row>
    <row r="7" spans="2:22" x14ac:dyDescent="0.3">
      <c r="B7" s="18" t="s">
        <v>10</v>
      </c>
      <c r="C7" s="18" t="s">
        <v>28</v>
      </c>
      <c r="D7" s="19">
        <v>500</v>
      </c>
      <c r="E7" s="20">
        <v>43496</v>
      </c>
      <c r="F7" s="18" t="s">
        <v>34</v>
      </c>
      <c r="T7" s="25">
        <v>43586</v>
      </c>
      <c r="U7" s="25">
        <f t="shared" si="0"/>
        <v>43616</v>
      </c>
      <c r="V7" s="24">
        <f>SUMIFS(Expense_Tracker_Table[Amount Spent],Expense_Tracker_Table[Expense Date],"&gt;="&amp;T7,Expense_Tracker_Table[Expense Date],"&lt;="&amp;U7)</f>
        <v>0</v>
      </c>
    </row>
    <row r="8" spans="2:22" x14ac:dyDescent="0.3">
      <c r="B8" s="18" t="s">
        <v>10</v>
      </c>
      <c r="C8" s="18" t="s">
        <v>28</v>
      </c>
      <c r="D8" s="19">
        <v>1000</v>
      </c>
      <c r="E8" s="20">
        <v>43496</v>
      </c>
      <c r="F8" s="18" t="s">
        <v>35</v>
      </c>
      <c r="H8" s="29"/>
      <c r="T8" s="25">
        <v>43617</v>
      </c>
      <c r="U8" s="25">
        <f t="shared" si="0"/>
        <v>43646</v>
      </c>
      <c r="V8" s="24">
        <f>SUMIFS(Expense_Tracker_Table[Amount Spent],Expense_Tracker_Table[Expense Date],"&gt;="&amp;T8,Expense_Tracker_Table[Expense Date],"&lt;="&amp;U8)</f>
        <v>0</v>
      </c>
    </row>
    <row r="9" spans="2:22" x14ac:dyDescent="0.3">
      <c r="B9" s="18" t="s">
        <v>8</v>
      </c>
      <c r="C9" s="18" t="s">
        <v>30</v>
      </c>
      <c r="D9" s="19">
        <v>40</v>
      </c>
      <c r="E9" s="20">
        <v>43510</v>
      </c>
      <c r="F9" s="18" t="s">
        <v>36</v>
      </c>
      <c r="T9" s="25">
        <v>43647</v>
      </c>
      <c r="U9" s="25">
        <f t="shared" ref="U9:U72" si="1">EOMONTH(T9,0)</f>
        <v>43677</v>
      </c>
      <c r="V9" s="24">
        <f>SUMIFS(Expense_Tracker_Table[Amount Spent],Expense_Tracker_Table[Expense Date],"&gt;="&amp;T9,Expense_Tracker_Table[Expense Date],"&lt;="&amp;U9)</f>
        <v>0</v>
      </c>
    </row>
    <row r="10" spans="2:22" x14ac:dyDescent="0.3">
      <c r="B10" s="18" t="s">
        <v>10</v>
      </c>
      <c r="C10" s="18" t="s">
        <v>28</v>
      </c>
      <c r="D10" s="19">
        <v>1200</v>
      </c>
      <c r="E10" s="20">
        <v>43524</v>
      </c>
      <c r="F10" s="18" t="s">
        <v>33</v>
      </c>
      <c r="T10" s="25">
        <v>43678</v>
      </c>
      <c r="U10" s="25">
        <f t="shared" si="1"/>
        <v>43708</v>
      </c>
      <c r="V10" s="24">
        <f>SUMIFS(Expense_Tracker_Table[Amount Spent],Expense_Tracker_Table[Expense Date],"&gt;="&amp;T10,Expense_Tracker_Table[Expense Date],"&lt;="&amp;U10)</f>
        <v>0</v>
      </c>
    </row>
    <row r="11" spans="2:22" x14ac:dyDescent="0.3">
      <c r="B11" s="18" t="s">
        <v>10</v>
      </c>
      <c r="C11" s="18" t="s">
        <v>28</v>
      </c>
      <c r="D11" s="19">
        <v>500</v>
      </c>
      <c r="E11" s="20">
        <v>43524</v>
      </c>
      <c r="F11" s="18" t="s">
        <v>34</v>
      </c>
      <c r="T11" s="25">
        <v>43709</v>
      </c>
      <c r="U11" s="25">
        <f t="shared" si="1"/>
        <v>43738</v>
      </c>
      <c r="V11" s="24">
        <f>SUMIFS(Expense_Tracker_Table[Amount Spent],Expense_Tracker_Table[Expense Date],"&gt;="&amp;T11,Expense_Tracker_Table[Expense Date],"&lt;="&amp;U11)</f>
        <v>0</v>
      </c>
    </row>
    <row r="12" spans="2:22" x14ac:dyDescent="0.3">
      <c r="B12" s="18" t="s">
        <v>10</v>
      </c>
      <c r="C12" s="18" t="s">
        <v>28</v>
      </c>
      <c r="D12" s="19">
        <v>1000</v>
      </c>
      <c r="E12" s="20">
        <v>43524</v>
      </c>
      <c r="F12" s="18" t="s">
        <v>35</v>
      </c>
      <c r="T12" s="25">
        <v>43739</v>
      </c>
      <c r="U12" s="25">
        <f t="shared" si="1"/>
        <v>43769</v>
      </c>
      <c r="V12" s="24">
        <f>SUMIFS(Expense_Tracker_Table[Amount Spent],Expense_Tracker_Table[Expense Date],"&gt;="&amp;T12,Expense_Tracker_Table[Expense Date],"&lt;="&amp;U12)</f>
        <v>0</v>
      </c>
    </row>
    <row r="13" spans="2:22" x14ac:dyDescent="0.3">
      <c r="B13" s="18" t="s">
        <v>8</v>
      </c>
      <c r="C13" s="18" t="s">
        <v>28</v>
      </c>
      <c r="D13" s="19">
        <v>300</v>
      </c>
      <c r="E13" s="20">
        <v>43527</v>
      </c>
      <c r="F13" s="18" t="s">
        <v>37</v>
      </c>
      <c r="T13" s="25">
        <v>43770</v>
      </c>
      <c r="U13" s="25">
        <f t="shared" si="1"/>
        <v>43799</v>
      </c>
      <c r="V13" s="24">
        <f>SUMIFS(Expense_Tracker_Table[Amount Spent],Expense_Tracker_Table[Expense Date],"&gt;="&amp;T13,Expense_Tracker_Table[Expense Date],"&lt;="&amp;U13)</f>
        <v>0</v>
      </c>
    </row>
    <row r="14" spans="2:22" x14ac:dyDescent="0.3">
      <c r="B14" s="18" t="s">
        <v>8</v>
      </c>
      <c r="C14" s="18" t="s">
        <v>28</v>
      </c>
      <c r="D14" s="19">
        <v>500</v>
      </c>
      <c r="E14" s="20">
        <v>43535</v>
      </c>
      <c r="F14" s="18" t="s">
        <v>38</v>
      </c>
      <c r="T14" s="25">
        <v>43800</v>
      </c>
      <c r="U14" s="25">
        <f t="shared" si="1"/>
        <v>43830</v>
      </c>
      <c r="V14" s="24">
        <f>SUMIFS(Expense_Tracker_Table[Amount Spent],Expense_Tracker_Table[Expense Date],"&gt;="&amp;T14,Expense_Tracker_Table[Expense Date],"&lt;="&amp;U14)</f>
        <v>0</v>
      </c>
    </row>
    <row r="15" spans="2:22" x14ac:dyDescent="0.3">
      <c r="B15" s="18" t="s">
        <v>8</v>
      </c>
      <c r="C15" s="18" t="s">
        <v>30</v>
      </c>
      <c r="D15" s="19">
        <v>100</v>
      </c>
      <c r="E15" s="20">
        <v>43551</v>
      </c>
      <c r="F15" s="18" t="s">
        <v>31</v>
      </c>
      <c r="T15" s="25">
        <v>43831</v>
      </c>
      <c r="U15" s="25">
        <f t="shared" si="1"/>
        <v>43861</v>
      </c>
      <c r="V15" s="24">
        <f>SUMIFS(Expense_Tracker_Table[Amount Spent],Expense_Tracker_Table[Expense Date],"&gt;="&amp;T15,Expense_Tracker_Table[Expense Date],"&lt;="&amp;U15)</f>
        <v>0</v>
      </c>
    </row>
    <row r="16" spans="2:22" x14ac:dyDescent="0.3">
      <c r="B16" s="18" t="s">
        <v>10</v>
      </c>
      <c r="C16" s="18" t="s">
        <v>28</v>
      </c>
      <c r="D16" s="19">
        <v>1200</v>
      </c>
      <c r="E16" s="20">
        <v>43555</v>
      </c>
      <c r="F16" s="18" t="s">
        <v>33</v>
      </c>
      <c r="T16" s="25">
        <v>43862</v>
      </c>
      <c r="U16" s="25">
        <f t="shared" si="1"/>
        <v>43890</v>
      </c>
      <c r="V16" s="24">
        <f>SUMIFS(Expense_Tracker_Table[Amount Spent],Expense_Tracker_Table[Expense Date],"&gt;="&amp;T16,Expense_Tracker_Table[Expense Date],"&lt;="&amp;U16)</f>
        <v>0</v>
      </c>
    </row>
    <row r="17" spans="2:22" x14ac:dyDescent="0.3">
      <c r="B17" s="18" t="s">
        <v>10</v>
      </c>
      <c r="C17" s="18" t="s">
        <v>28</v>
      </c>
      <c r="D17" s="19">
        <v>500</v>
      </c>
      <c r="E17" s="20">
        <v>43555</v>
      </c>
      <c r="F17" s="18" t="s">
        <v>34</v>
      </c>
      <c r="H17" s="29"/>
      <c r="T17" s="25">
        <v>43891</v>
      </c>
      <c r="U17" s="25">
        <f t="shared" si="1"/>
        <v>43921</v>
      </c>
      <c r="V17" s="24">
        <f>SUMIFS(Expense_Tracker_Table[Amount Spent],Expense_Tracker_Table[Expense Date],"&gt;="&amp;T17,Expense_Tracker_Table[Expense Date],"&lt;="&amp;U17)</f>
        <v>0</v>
      </c>
    </row>
    <row r="18" spans="2:22" x14ac:dyDescent="0.3">
      <c r="B18" s="18" t="s">
        <v>10</v>
      </c>
      <c r="C18" s="18" t="s">
        <v>28</v>
      </c>
      <c r="D18" s="19">
        <v>1000</v>
      </c>
      <c r="E18" s="20">
        <v>43555</v>
      </c>
      <c r="F18" s="18" t="s">
        <v>35</v>
      </c>
      <c r="T18" s="25">
        <v>43922</v>
      </c>
      <c r="U18" s="25">
        <f t="shared" si="1"/>
        <v>43951</v>
      </c>
      <c r="V18" s="24">
        <f>SUMIFS(Expense_Tracker_Table[Amount Spent],Expense_Tracker_Table[Expense Date],"&gt;="&amp;T18,Expense_Tracker_Table[Expense Date],"&lt;="&amp;U18)</f>
        <v>0</v>
      </c>
    </row>
    <row r="19" spans="2:22" x14ac:dyDescent="0.3">
      <c r="B19" s="18" t="s">
        <v>8</v>
      </c>
      <c r="C19" s="18" t="s">
        <v>28</v>
      </c>
      <c r="D19" s="19">
        <v>400</v>
      </c>
      <c r="E19" s="20">
        <v>43555</v>
      </c>
      <c r="F19" s="18" t="s">
        <v>39</v>
      </c>
      <c r="T19" s="25">
        <v>43952</v>
      </c>
      <c r="U19" s="25">
        <f t="shared" si="1"/>
        <v>43982</v>
      </c>
      <c r="V19" s="24">
        <f>SUMIFS(Expense_Tracker_Table[Amount Spent],Expense_Tracker_Table[Expense Date],"&gt;="&amp;T19,Expense_Tracker_Table[Expense Date],"&lt;="&amp;U19)</f>
        <v>0</v>
      </c>
    </row>
    <row r="20" spans="2:22" x14ac:dyDescent="0.3">
      <c r="B20" s="18" t="s">
        <v>10</v>
      </c>
      <c r="C20" s="18" t="s">
        <v>28</v>
      </c>
      <c r="D20" s="19">
        <v>1200</v>
      </c>
      <c r="E20" s="20">
        <v>43585</v>
      </c>
      <c r="F20" s="18" t="s">
        <v>33</v>
      </c>
      <c r="H20" s="29"/>
      <c r="T20" s="25">
        <v>43983</v>
      </c>
      <c r="U20" s="25">
        <f t="shared" si="1"/>
        <v>44012</v>
      </c>
      <c r="V20" s="24">
        <f>SUMIFS(Expense_Tracker_Table[Amount Spent],Expense_Tracker_Table[Expense Date],"&gt;="&amp;T20,Expense_Tracker_Table[Expense Date],"&lt;="&amp;U20)</f>
        <v>0</v>
      </c>
    </row>
    <row r="21" spans="2:22" x14ac:dyDescent="0.3">
      <c r="B21" s="18" t="s">
        <v>10</v>
      </c>
      <c r="C21" s="18" t="s">
        <v>28</v>
      </c>
      <c r="D21" s="19">
        <v>1200</v>
      </c>
      <c r="E21" s="20">
        <v>43556</v>
      </c>
      <c r="F21" s="18" t="s">
        <v>33</v>
      </c>
      <c r="T21" s="25">
        <v>44013</v>
      </c>
      <c r="U21" s="25">
        <f t="shared" si="1"/>
        <v>44043</v>
      </c>
      <c r="V21" s="24">
        <f>SUMIFS(Expense_Tracker_Table[Amount Spent],Expense_Tracker_Table[Expense Date],"&gt;="&amp;T21,Expense_Tracker_Table[Expense Date],"&lt;="&amp;U21)</f>
        <v>0</v>
      </c>
    </row>
    <row r="22" spans="2:22" x14ac:dyDescent="0.3">
      <c r="T22" s="25">
        <v>44044</v>
      </c>
      <c r="U22" s="25">
        <f t="shared" si="1"/>
        <v>44074</v>
      </c>
      <c r="V22" s="24">
        <f>SUMIFS(Expense_Tracker_Table[Amount Spent],Expense_Tracker_Table[Expense Date],"&gt;="&amp;T22,Expense_Tracker_Table[Expense Date],"&lt;="&amp;U22)</f>
        <v>0</v>
      </c>
    </row>
    <row r="23" spans="2:22" x14ac:dyDescent="0.3">
      <c r="T23" s="25">
        <v>44075</v>
      </c>
      <c r="U23" s="25">
        <f t="shared" si="1"/>
        <v>44104</v>
      </c>
      <c r="V23" s="24">
        <f>SUMIFS(Expense_Tracker_Table[Amount Spent],Expense_Tracker_Table[Expense Date],"&gt;="&amp;T23,Expense_Tracker_Table[Expense Date],"&lt;="&amp;U23)</f>
        <v>0</v>
      </c>
    </row>
    <row r="24" spans="2:22" x14ac:dyDescent="0.3">
      <c r="T24" s="25">
        <v>44105</v>
      </c>
      <c r="U24" s="25">
        <f t="shared" si="1"/>
        <v>44135</v>
      </c>
      <c r="V24" s="24">
        <f>SUMIFS(Expense_Tracker_Table[Amount Spent],Expense_Tracker_Table[Expense Date],"&gt;="&amp;T24,Expense_Tracker_Table[Expense Date],"&lt;="&amp;U24)</f>
        <v>0</v>
      </c>
    </row>
    <row r="25" spans="2:22" x14ac:dyDescent="0.3">
      <c r="T25" s="25">
        <v>44136</v>
      </c>
      <c r="U25" s="25">
        <f t="shared" si="1"/>
        <v>44165</v>
      </c>
      <c r="V25" s="24">
        <f>SUMIFS(Expense_Tracker_Table[Amount Spent],Expense_Tracker_Table[Expense Date],"&gt;="&amp;T25,Expense_Tracker_Table[Expense Date],"&lt;="&amp;U25)</f>
        <v>0</v>
      </c>
    </row>
    <row r="26" spans="2:22" x14ac:dyDescent="0.3">
      <c r="T26" s="25">
        <v>44166</v>
      </c>
      <c r="U26" s="25">
        <f t="shared" si="1"/>
        <v>44196</v>
      </c>
      <c r="V26" s="24">
        <f>SUMIFS(Expense_Tracker_Table[Amount Spent],Expense_Tracker_Table[Expense Date],"&gt;="&amp;T26,Expense_Tracker_Table[Expense Date],"&lt;="&amp;U26)</f>
        <v>0</v>
      </c>
    </row>
    <row r="27" spans="2:22" x14ac:dyDescent="0.3">
      <c r="T27" s="25">
        <v>44197</v>
      </c>
      <c r="U27" s="25">
        <f t="shared" si="1"/>
        <v>44227</v>
      </c>
      <c r="V27" s="24">
        <f>SUMIFS(Expense_Tracker_Table[Amount Spent],Expense_Tracker_Table[Expense Date],"&gt;="&amp;T27,Expense_Tracker_Table[Expense Date],"&lt;="&amp;U27)</f>
        <v>0</v>
      </c>
    </row>
    <row r="28" spans="2:22" x14ac:dyDescent="0.3">
      <c r="T28" s="25">
        <v>44228</v>
      </c>
      <c r="U28" s="25">
        <f t="shared" si="1"/>
        <v>44255</v>
      </c>
      <c r="V28" s="24">
        <f>SUMIFS(Expense_Tracker_Table[Amount Spent],Expense_Tracker_Table[Expense Date],"&gt;="&amp;T28,Expense_Tracker_Table[Expense Date],"&lt;="&amp;U28)</f>
        <v>0</v>
      </c>
    </row>
    <row r="29" spans="2:22" x14ac:dyDescent="0.3">
      <c r="T29" s="25">
        <v>44256</v>
      </c>
      <c r="U29" s="25">
        <f t="shared" si="1"/>
        <v>44286</v>
      </c>
      <c r="V29" s="24">
        <f>SUMIFS(Expense_Tracker_Table[Amount Spent],Expense_Tracker_Table[Expense Date],"&gt;="&amp;T29,Expense_Tracker_Table[Expense Date],"&lt;="&amp;U29)</f>
        <v>0</v>
      </c>
    </row>
    <row r="30" spans="2:22" x14ac:dyDescent="0.3">
      <c r="T30" s="25">
        <v>44287</v>
      </c>
      <c r="U30" s="25">
        <f t="shared" si="1"/>
        <v>44316</v>
      </c>
      <c r="V30" s="24">
        <f>SUMIFS(Expense_Tracker_Table[Amount Spent],Expense_Tracker_Table[Expense Date],"&gt;="&amp;T30,Expense_Tracker_Table[Expense Date],"&lt;="&amp;U30)</f>
        <v>0</v>
      </c>
    </row>
    <row r="31" spans="2:22" x14ac:dyDescent="0.3">
      <c r="T31" s="25">
        <v>44317</v>
      </c>
      <c r="U31" s="25">
        <f t="shared" si="1"/>
        <v>44347</v>
      </c>
      <c r="V31" s="24">
        <f>SUMIFS(Expense_Tracker_Table[Amount Spent],Expense_Tracker_Table[Expense Date],"&gt;="&amp;T31,Expense_Tracker_Table[Expense Date],"&lt;="&amp;U31)</f>
        <v>0</v>
      </c>
    </row>
    <row r="32" spans="2:22" x14ac:dyDescent="0.3">
      <c r="T32" s="25">
        <v>44348</v>
      </c>
      <c r="U32" s="25">
        <f t="shared" si="1"/>
        <v>44377</v>
      </c>
      <c r="V32" s="24">
        <f>SUMIFS(Expense_Tracker_Table[Amount Spent],Expense_Tracker_Table[Expense Date],"&gt;="&amp;T32,Expense_Tracker_Table[Expense Date],"&lt;="&amp;U32)</f>
        <v>0</v>
      </c>
    </row>
    <row r="33" spans="20:22" x14ac:dyDescent="0.3">
      <c r="T33" s="25">
        <v>44378</v>
      </c>
      <c r="U33" s="25">
        <f t="shared" si="1"/>
        <v>44408</v>
      </c>
      <c r="V33" s="24">
        <f>SUMIFS(Expense_Tracker_Table[Amount Spent],Expense_Tracker_Table[Expense Date],"&gt;="&amp;T33,Expense_Tracker_Table[Expense Date],"&lt;="&amp;U33)</f>
        <v>0</v>
      </c>
    </row>
    <row r="34" spans="20:22" x14ac:dyDescent="0.3">
      <c r="T34" s="25">
        <v>44409</v>
      </c>
      <c r="U34" s="25">
        <f t="shared" si="1"/>
        <v>44439</v>
      </c>
      <c r="V34" s="24">
        <f>SUMIFS(Expense_Tracker_Table[Amount Spent],Expense_Tracker_Table[Expense Date],"&gt;="&amp;T34,Expense_Tracker_Table[Expense Date],"&lt;="&amp;U34)</f>
        <v>0</v>
      </c>
    </row>
    <row r="35" spans="20:22" x14ac:dyDescent="0.3">
      <c r="T35" s="25">
        <v>44440</v>
      </c>
      <c r="U35" s="25">
        <f t="shared" si="1"/>
        <v>44469</v>
      </c>
      <c r="V35" s="24">
        <f>SUMIFS(Expense_Tracker_Table[Amount Spent],Expense_Tracker_Table[Expense Date],"&gt;="&amp;T35,Expense_Tracker_Table[Expense Date],"&lt;="&amp;U35)</f>
        <v>0</v>
      </c>
    </row>
    <row r="36" spans="20:22" x14ac:dyDescent="0.3">
      <c r="T36" s="25">
        <v>44470</v>
      </c>
      <c r="U36" s="25">
        <f t="shared" si="1"/>
        <v>44500</v>
      </c>
      <c r="V36" s="24">
        <f>SUMIFS(Expense_Tracker_Table[Amount Spent],Expense_Tracker_Table[Expense Date],"&gt;="&amp;T36,Expense_Tracker_Table[Expense Date],"&lt;="&amp;U36)</f>
        <v>0</v>
      </c>
    </row>
    <row r="37" spans="20:22" x14ac:dyDescent="0.3">
      <c r="T37" s="25">
        <v>44501</v>
      </c>
      <c r="U37" s="25">
        <f t="shared" si="1"/>
        <v>44530</v>
      </c>
      <c r="V37" s="24">
        <f>SUMIFS(Expense_Tracker_Table[Amount Spent],Expense_Tracker_Table[Expense Date],"&gt;="&amp;T37,Expense_Tracker_Table[Expense Date],"&lt;="&amp;U37)</f>
        <v>0</v>
      </c>
    </row>
    <row r="38" spans="20:22" x14ac:dyDescent="0.3">
      <c r="T38" s="25">
        <v>44531</v>
      </c>
      <c r="U38" s="25">
        <f t="shared" si="1"/>
        <v>44561</v>
      </c>
      <c r="V38" s="24">
        <f>SUMIFS(Expense_Tracker_Table[Amount Spent],Expense_Tracker_Table[Expense Date],"&gt;="&amp;T38,Expense_Tracker_Table[Expense Date],"&lt;="&amp;U38)</f>
        <v>0</v>
      </c>
    </row>
    <row r="39" spans="20:22" x14ac:dyDescent="0.3">
      <c r="T39" s="25">
        <v>44562</v>
      </c>
      <c r="U39" s="25">
        <f t="shared" si="1"/>
        <v>44592</v>
      </c>
      <c r="V39" s="24">
        <f>SUMIFS(Expense_Tracker_Table[Amount Spent],Expense_Tracker_Table[Expense Date],"&gt;="&amp;T39,Expense_Tracker_Table[Expense Date],"&lt;="&amp;U39)</f>
        <v>0</v>
      </c>
    </row>
    <row r="40" spans="20:22" x14ac:dyDescent="0.3">
      <c r="T40" s="25">
        <v>44593</v>
      </c>
      <c r="U40" s="25">
        <f t="shared" si="1"/>
        <v>44620</v>
      </c>
      <c r="V40" s="24">
        <f>SUMIFS(Expense_Tracker_Table[Amount Spent],Expense_Tracker_Table[Expense Date],"&gt;="&amp;T40,Expense_Tracker_Table[Expense Date],"&lt;="&amp;U40)</f>
        <v>0</v>
      </c>
    </row>
    <row r="41" spans="20:22" x14ac:dyDescent="0.3">
      <c r="T41" s="25">
        <v>44621</v>
      </c>
      <c r="U41" s="25">
        <f t="shared" si="1"/>
        <v>44651</v>
      </c>
      <c r="V41" s="24">
        <f>SUMIFS(Expense_Tracker_Table[Amount Spent],Expense_Tracker_Table[Expense Date],"&gt;="&amp;T41,Expense_Tracker_Table[Expense Date],"&lt;="&amp;U41)</f>
        <v>0</v>
      </c>
    </row>
    <row r="42" spans="20:22" x14ac:dyDescent="0.3">
      <c r="T42" s="25">
        <v>44652</v>
      </c>
      <c r="U42" s="25">
        <f t="shared" si="1"/>
        <v>44681</v>
      </c>
      <c r="V42" s="24">
        <f>SUMIFS(Expense_Tracker_Table[Amount Spent],Expense_Tracker_Table[Expense Date],"&gt;="&amp;T42,Expense_Tracker_Table[Expense Date],"&lt;="&amp;U42)</f>
        <v>0</v>
      </c>
    </row>
    <row r="43" spans="20:22" x14ac:dyDescent="0.3">
      <c r="T43" s="25">
        <v>44682</v>
      </c>
      <c r="U43" s="25">
        <f t="shared" si="1"/>
        <v>44712</v>
      </c>
      <c r="V43" s="24">
        <f>SUMIFS(Expense_Tracker_Table[Amount Spent],Expense_Tracker_Table[Expense Date],"&gt;="&amp;T43,Expense_Tracker_Table[Expense Date],"&lt;="&amp;U43)</f>
        <v>0</v>
      </c>
    </row>
    <row r="44" spans="20:22" x14ac:dyDescent="0.3">
      <c r="T44" s="25">
        <v>44713</v>
      </c>
      <c r="U44" s="25">
        <f t="shared" si="1"/>
        <v>44742</v>
      </c>
      <c r="V44" s="24">
        <f>SUMIFS(Expense_Tracker_Table[Amount Spent],Expense_Tracker_Table[Expense Date],"&gt;="&amp;T44,Expense_Tracker_Table[Expense Date],"&lt;="&amp;U44)</f>
        <v>0</v>
      </c>
    </row>
    <row r="45" spans="20:22" x14ac:dyDescent="0.3">
      <c r="T45" s="25">
        <v>44743</v>
      </c>
      <c r="U45" s="25">
        <f t="shared" si="1"/>
        <v>44773</v>
      </c>
      <c r="V45" s="24">
        <f>SUMIFS(Expense_Tracker_Table[Amount Spent],Expense_Tracker_Table[Expense Date],"&gt;="&amp;T45,Expense_Tracker_Table[Expense Date],"&lt;="&amp;U45)</f>
        <v>0</v>
      </c>
    </row>
    <row r="46" spans="20:22" x14ac:dyDescent="0.3">
      <c r="T46" s="25">
        <v>44774</v>
      </c>
      <c r="U46" s="25">
        <f t="shared" si="1"/>
        <v>44804</v>
      </c>
      <c r="V46" s="24">
        <f>SUMIFS(Expense_Tracker_Table[Amount Spent],Expense_Tracker_Table[Expense Date],"&gt;="&amp;T46,Expense_Tracker_Table[Expense Date],"&lt;="&amp;U46)</f>
        <v>0</v>
      </c>
    </row>
    <row r="47" spans="20:22" x14ac:dyDescent="0.3">
      <c r="T47" s="25">
        <v>44805</v>
      </c>
      <c r="U47" s="25">
        <f t="shared" si="1"/>
        <v>44834</v>
      </c>
      <c r="V47" s="24">
        <f>SUMIFS(Expense_Tracker_Table[Amount Spent],Expense_Tracker_Table[Expense Date],"&gt;="&amp;T47,Expense_Tracker_Table[Expense Date],"&lt;="&amp;U47)</f>
        <v>0</v>
      </c>
    </row>
    <row r="48" spans="20:22" x14ac:dyDescent="0.3">
      <c r="T48" s="25">
        <v>44835</v>
      </c>
      <c r="U48" s="25">
        <f t="shared" si="1"/>
        <v>44865</v>
      </c>
      <c r="V48" s="24">
        <f>SUMIFS(Expense_Tracker_Table[Amount Spent],Expense_Tracker_Table[Expense Date],"&gt;="&amp;T48,Expense_Tracker_Table[Expense Date],"&lt;="&amp;U48)</f>
        <v>0</v>
      </c>
    </row>
    <row r="49" spans="20:22" x14ac:dyDescent="0.3">
      <c r="T49" s="25">
        <v>44866</v>
      </c>
      <c r="U49" s="25">
        <f t="shared" si="1"/>
        <v>44895</v>
      </c>
      <c r="V49" s="24">
        <f>SUMIFS(Expense_Tracker_Table[Amount Spent],Expense_Tracker_Table[Expense Date],"&gt;="&amp;T49,Expense_Tracker_Table[Expense Date],"&lt;="&amp;U49)</f>
        <v>0</v>
      </c>
    </row>
    <row r="50" spans="20:22" x14ac:dyDescent="0.3">
      <c r="T50" s="25">
        <v>44896</v>
      </c>
      <c r="U50" s="25">
        <f t="shared" si="1"/>
        <v>44926</v>
      </c>
      <c r="V50" s="24">
        <f>SUMIFS(Expense_Tracker_Table[Amount Spent],Expense_Tracker_Table[Expense Date],"&gt;="&amp;T50,Expense_Tracker_Table[Expense Date],"&lt;="&amp;U50)</f>
        <v>0</v>
      </c>
    </row>
    <row r="51" spans="20:22" x14ac:dyDescent="0.3">
      <c r="T51" s="25">
        <v>44927</v>
      </c>
      <c r="U51" s="25">
        <f t="shared" si="1"/>
        <v>44957</v>
      </c>
      <c r="V51" s="24">
        <f>SUMIFS(Expense_Tracker_Table[Amount Spent],Expense_Tracker_Table[Expense Date],"&gt;="&amp;T51,Expense_Tracker_Table[Expense Date],"&lt;="&amp;U51)</f>
        <v>0</v>
      </c>
    </row>
    <row r="52" spans="20:22" x14ac:dyDescent="0.3">
      <c r="T52" s="25">
        <v>44958</v>
      </c>
      <c r="U52" s="25">
        <f t="shared" si="1"/>
        <v>44985</v>
      </c>
      <c r="V52" s="24">
        <f>SUMIFS(Expense_Tracker_Table[Amount Spent],Expense_Tracker_Table[Expense Date],"&gt;="&amp;T52,Expense_Tracker_Table[Expense Date],"&lt;="&amp;U52)</f>
        <v>0</v>
      </c>
    </row>
    <row r="53" spans="20:22" x14ac:dyDescent="0.3">
      <c r="T53" s="25">
        <v>44986</v>
      </c>
      <c r="U53" s="25">
        <f t="shared" si="1"/>
        <v>45016</v>
      </c>
      <c r="V53" s="24">
        <f>SUMIFS(Expense_Tracker_Table[Amount Spent],Expense_Tracker_Table[Expense Date],"&gt;="&amp;T53,Expense_Tracker_Table[Expense Date],"&lt;="&amp;U53)</f>
        <v>0</v>
      </c>
    </row>
    <row r="54" spans="20:22" x14ac:dyDescent="0.3">
      <c r="T54" s="25">
        <v>45017</v>
      </c>
      <c r="U54" s="25">
        <f t="shared" si="1"/>
        <v>45046</v>
      </c>
      <c r="V54" s="24">
        <f>SUMIFS(Expense_Tracker_Table[Amount Spent],Expense_Tracker_Table[Expense Date],"&gt;="&amp;T54,Expense_Tracker_Table[Expense Date],"&lt;="&amp;U54)</f>
        <v>0</v>
      </c>
    </row>
    <row r="55" spans="20:22" x14ac:dyDescent="0.3">
      <c r="T55" s="25">
        <v>45047</v>
      </c>
      <c r="U55" s="25">
        <f t="shared" si="1"/>
        <v>45077</v>
      </c>
      <c r="V55" s="24">
        <f>SUMIFS(Expense_Tracker_Table[Amount Spent],Expense_Tracker_Table[Expense Date],"&gt;="&amp;T55,Expense_Tracker_Table[Expense Date],"&lt;="&amp;U55)</f>
        <v>0</v>
      </c>
    </row>
    <row r="56" spans="20:22" x14ac:dyDescent="0.3">
      <c r="T56" s="25">
        <v>45078</v>
      </c>
      <c r="U56" s="25">
        <f t="shared" si="1"/>
        <v>45107</v>
      </c>
      <c r="V56" s="24">
        <f>SUMIFS(Expense_Tracker_Table[Amount Spent],Expense_Tracker_Table[Expense Date],"&gt;="&amp;T56,Expense_Tracker_Table[Expense Date],"&lt;="&amp;U56)</f>
        <v>0</v>
      </c>
    </row>
    <row r="57" spans="20:22" x14ac:dyDescent="0.3">
      <c r="T57" s="25">
        <v>45108</v>
      </c>
      <c r="U57" s="25">
        <f t="shared" si="1"/>
        <v>45138</v>
      </c>
      <c r="V57" s="24">
        <f>SUMIFS(Expense_Tracker_Table[Amount Spent],Expense_Tracker_Table[Expense Date],"&gt;="&amp;T57,Expense_Tracker_Table[Expense Date],"&lt;="&amp;U57)</f>
        <v>0</v>
      </c>
    </row>
    <row r="58" spans="20:22" x14ac:dyDescent="0.3">
      <c r="T58" s="25">
        <v>45139</v>
      </c>
      <c r="U58" s="25">
        <f t="shared" si="1"/>
        <v>45169</v>
      </c>
      <c r="V58" s="24">
        <f>SUMIFS(Expense_Tracker_Table[Amount Spent],Expense_Tracker_Table[Expense Date],"&gt;="&amp;T58,Expense_Tracker_Table[Expense Date],"&lt;="&amp;U58)</f>
        <v>0</v>
      </c>
    </row>
    <row r="59" spans="20:22" x14ac:dyDescent="0.3">
      <c r="T59" s="25">
        <v>45170</v>
      </c>
      <c r="U59" s="25">
        <f t="shared" si="1"/>
        <v>45199</v>
      </c>
      <c r="V59" s="24">
        <f>SUMIFS(Expense_Tracker_Table[Amount Spent],Expense_Tracker_Table[Expense Date],"&gt;="&amp;T59,Expense_Tracker_Table[Expense Date],"&lt;="&amp;U59)</f>
        <v>0</v>
      </c>
    </row>
    <row r="60" spans="20:22" x14ac:dyDescent="0.3">
      <c r="T60" s="25">
        <v>45200</v>
      </c>
      <c r="U60" s="25">
        <f t="shared" si="1"/>
        <v>45230</v>
      </c>
      <c r="V60" s="24">
        <f>SUMIFS(Expense_Tracker_Table[Amount Spent],Expense_Tracker_Table[Expense Date],"&gt;="&amp;T60,Expense_Tracker_Table[Expense Date],"&lt;="&amp;U60)</f>
        <v>0</v>
      </c>
    </row>
    <row r="61" spans="20:22" x14ac:dyDescent="0.3">
      <c r="T61" s="25">
        <v>45231</v>
      </c>
      <c r="U61" s="25">
        <f t="shared" si="1"/>
        <v>45260</v>
      </c>
      <c r="V61" s="24">
        <f>SUMIFS(Expense_Tracker_Table[Amount Spent],Expense_Tracker_Table[Expense Date],"&gt;="&amp;T61,Expense_Tracker_Table[Expense Date],"&lt;="&amp;U61)</f>
        <v>0</v>
      </c>
    </row>
    <row r="62" spans="20:22" x14ac:dyDescent="0.3">
      <c r="T62" s="25">
        <v>45261</v>
      </c>
      <c r="U62" s="25">
        <f t="shared" si="1"/>
        <v>45291</v>
      </c>
      <c r="V62" s="24">
        <f>SUMIFS(Expense_Tracker_Table[Amount Spent],Expense_Tracker_Table[Expense Date],"&gt;="&amp;T62,Expense_Tracker_Table[Expense Date],"&lt;="&amp;U62)</f>
        <v>0</v>
      </c>
    </row>
    <row r="63" spans="20:22" x14ac:dyDescent="0.3">
      <c r="T63" s="25">
        <v>45292</v>
      </c>
      <c r="U63" s="25">
        <f t="shared" si="1"/>
        <v>45322</v>
      </c>
      <c r="V63" s="24">
        <f>SUMIFS(Expense_Tracker_Table[Amount Spent],Expense_Tracker_Table[Expense Date],"&gt;="&amp;T63,Expense_Tracker_Table[Expense Date],"&lt;="&amp;U63)</f>
        <v>0</v>
      </c>
    </row>
    <row r="64" spans="20:22" x14ac:dyDescent="0.3">
      <c r="T64" s="25">
        <v>45323</v>
      </c>
      <c r="U64" s="25">
        <f t="shared" si="1"/>
        <v>45351</v>
      </c>
      <c r="V64" s="24">
        <f>SUMIFS(Expense_Tracker_Table[Amount Spent],Expense_Tracker_Table[Expense Date],"&gt;="&amp;T64,Expense_Tracker_Table[Expense Date],"&lt;="&amp;U64)</f>
        <v>0</v>
      </c>
    </row>
    <row r="65" spans="20:22" x14ac:dyDescent="0.3">
      <c r="T65" s="25">
        <v>45352</v>
      </c>
      <c r="U65" s="25">
        <f t="shared" si="1"/>
        <v>45382</v>
      </c>
      <c r="V65" s="24">
        <f>SUMIFS(Expense_Tracker_Table[Amount Spent],Expense_Tracker_Table[Expense Date],"&gt;="&amp;T65,Expense_Tracker_Table[Expense Date],"&lt;="&amp;U65)</f>
        <v>0</v>
      </c>
    </row>
    <row r="66" spans="20:22" x14ac:dyDescent="0.3">
      <c r="T66" s="25">
        <v>45383</v>
      </c>
      <c r="U66" s="25">
        <f t="shared" si="1"/>
        <v>45412</v>
      </c>
      <c r="V66" s="24">
        <f>SUMIFS(Expense_Tracker_Table[Amount Spent],Expense_Tracker_Table[Expense Date],"&gt;="&amp;T66,Expense_Tracker_Table[Expense Date],"&lt;="&amp;U66)</f>
        <v>0</v>
      </c>
    </row>
    <row r="67" spans="20:22" x14ac:dyDescent="0.3">
      <c r="T67" s="25">
        <v>45413</v>
      </c>
      <c r="U67" s="25">
        <f t="shared" si="1"/>
        <v>45443</v>
      </c>
      <c r="V67" s="24">
        <f>SUMIFS(Expense_Tracker_Table[Amount Spent],Expense_Tracker_Table[Expense Date],"&gt;="&amp;T67,Expense_Tracker_Table[Expense Date],"&lt;="&amp;U67)</f>
        <v>0</v>
      </c>
    </row>
    <row r="68" spans="20:22" x14ac:dyDescent="0.3">
      <c r="T68" s="25">
        <v>45444</v>
      </c>
      <c r="U68" s="25">
        <f t="shared" si="1"/>
        <v>45473</v>
      </c>
      <c r="V68" s="24">
        <f>SUMIFS(Expense_Tracker_Table[Amount Spent],Expense_Tracker_Table[Expense Date],"&gt;="&amp;T68,Expense_Tracker_Table[Expense Date],"&lt;="&amp;U68)</f>
        <v>0</v>
      </c>
    </row>
    <row r="69" spans="20:22" x14ac:dyDescent="0.3">
      <c r="T69" s="25">
        <v>45474</v>
      </c>
      <c r="U69" s="25">
        <f t="shared" si="1"/>
        <v>45504</v>
      </c>
      <c r="V69" s="24">
        <f>SUMIFS(Expense_Tracker_Table[Amount Spent],Expense_Tracker_Table[Expense Date],"&gt;="&amp;T69,Expense_Tracker_Table[Expense Date],"&lt;="&amp;U69)</f>
        <v>0</v>
      </c>
    </row>
    <row r="70" spans="20:22" x14ac:dyDescent="0.3">
      <c r="T70" s="25">
        <v>45505</v>
      </c>
      <c r="U70" s="25">
        <f t="shared" si="1"/>
        <v>45535</v>
      </c>
      <c r="V70" s="24">
        <f>SUMIFS(Expense_Tracker_Table[Amount Spent],Expense_Tracker_Table[Expense Date],"&gt;="&amp;T70,Expense_Tracker_Table[Expense Date],"&lt;="&amp;U70)</f>
        <v>0</v>
      </c>
    </row>
    <row r="71" spans="20:22" x14ac:dyDescent="0.3">
      <c r="T71" s="25">
        <v>45536</v>
      </c>
      <c r="U71" s="25">
        <f t="shared" si="1"/>
        <v>45565</v>
      </c>
      <c r="V71" s="24">
        <f>SUMIFS(Expense_Tracker_Table[Amount Spent],Expense_Tracker_Table[Expense Date],"&gt;="&amp;T71,Expense_Tracker_Table[Expense Date],"&lt;="&amp;U71)</f>
        <v>0</v>
      </c>
    </row>
    <row r="72" spans="20:22" x14ac:dyDescent="0.3">
      <c r="T72" s="25">
        <v>45566</v>
      </c>
      <c r="U72" s="25">
        <f t="shared" si="1"/>
        <v>45596</v>
      </c>
      <c r="V72" s="24">
        <f>SUMIFS(Expense_Tracker_Table[Amount Spent],Expense_Tracker_Table[Expense Date],"&gt;="&amp;T72,Expense_Tracker_Table[Expense Date],"&lt;="&amp;U72)</f>
        <v>0</v>
      </c>
    </row>
    <row r="73" spans="20:22" x14ac:dyDescent="0.3">
      <c r="T73" s="25">
        <v>45597</v>
      </c>
      <c r="U73" s="25">
        <f t="shared" ref="U73:U136" si="2">EOMONTH(T73,0)</f>
        <v>45626</v>
      </c>
      <c r="V73" s="24">
        <f>SUMIFS(Expense_Tracker_Table[Amount Spent],Expense_Tracker_Table[Expense Date],"&gt;="&amp;T73,Expense_Tracker_Table[Expense Date],"&lt;="&amp;U73)</f>
        <v>0</v>
      </c>
    </row>
    <row r="74" spans="20:22" x14ac:dyDescent="0.3">
      <c r="T74" s="25">
        <v>45627</v>
      </c>
      <c r="U74" s="25">
        <f t="shared" si="2"/>
        <v>45657</v>
      </c>
      <c r="V74" s="24">
        <f>SUMIFS(Expense_Tracker_Table[Amount Spent],Expense_Tracker_Table[Expense Date],"&gt;="&amp;T74,Expense_Tracker_Table[Expense Date],"&lt;="&amp;U74)</f>
        <v>0</v>
      </c>
    </row>
    <row r="75" spans="20:22" x14ac:dyDescent="0.3">
      <c r="T75" s="25">
        <v>45658</v>
      </c>
      <c r="U75" s="25">
        <f t="shared" si="2"/>
        <v>45688</v>
      </c>
      <c r="V75" s="24">
        <f>SUMIFS(Expense_Tracker_Table[Amount Spent],Expense_Tracker_Table[Expense Date],"&gt;="&amp;T75,Expense_Tracker_Table[Expense Date],"&lt;="&amp;U75)</f>
        <v>0</v>
      </c>
    </row>
    <row r="76" spans="20:22" x14ac:dyDescent="0.3">
      <c r="T76" s="25">
        <v>45689</v>
      </c>
      <c r="U76" s="25">
        <f t="shared" si="2"/>
        <v>45716</v>
      </c>
      <c r="V76" s="24">
        <f>SUMIFS(Expense_Tracker_Table[Amount Spent],Expense_Tracker_Table[Expense Date],"&gt;="&amp;T76,Expense_Tracker_Table[Expense Date],"&lt;="&amp;U76)</f>
        <v>0</v>
      </c>
    </row>
    <row r="77" spans="20:22" x14ac:dyDescent="0.3">
      <c r="T77" s="25">
        <v>45717</v>
      </c>
      <c r="U77" s="25">
        <f t="shared" si="2"/>
        <v>45747</v>
      </c>
      <c r="V77" s="24">
        <f>SUMIFS(Expense_Tracker_Table[Amount Spent],Expense_Tracker_Table[Expense Date],"&gt;="&amp;T77,Expense_Tracker_Table[Expense Date],"&lt;="&amp;U77)</f>
        <v>0</v>
      </c>
    </row>
    <row r="78" spans="20:22" x14ac:dyDescent="0.3">
      <c r="T78" s="25">
        <v>45748</v>
      </c>
      <c r="U78" s="25">
        <f t="shared" si="2"/>
        <v>45777</v>
      </c>
      <c r="V78" s="24">
        <f>SUMIFS(Expense_Tracker_Table[Amount Spent],Expense_Tracker_Table[Expense Date],"&gt;="&amp;T78,Expense_Tracker_Table[Expense Date],"&lt;="&amp;U78)</f>
        <v>0</v>
      </c>
    </row>
    <row r="79" spans="20:22" x14ac:dyDescent="0.3">
      <c r="T79" s="25">
        <v>45778</v>
      </c>
      <c r="U79" s="25">
        <f t="shared" si="2"/>
        <v>45808</v>
      </c>
      <c r="V79" s="24">
        <f>SUMIFS(Expense_Tracker_Table[Amount Spent],Expense_Tracker_Table[Expense Date],"&gt;="&amp;T79,Expense_Tracker_Table[Expense Date],"&lt;="&amp;U79)</f>
        <v>0</v>
      </c>
    </row>
    <row r="80" spans="20:22" x14ac:dyDescent="0.3">
      <c r="T80" s="25">
        <v>45809</v>
      </c>
      <c r="U80" s="25">
        <f t="shared" si="2"/>
        <v>45838</v>
      </c>
      <c r="V80" s="24">
        <f>SUMIFS(Expense_Tracker_Table[Amount Spent],Expense_Tracker_Table[Expense Date],"&gt;="&amp;T80,Expense_Tracker_Table[Expense Date],"&lt;="&amp;U80)</f>
        <v>0</v>
      </c>
    </row>
    <row r="81" spans="20:22" x14ac:dyDescent="0.3">
      <c r="T81" s="25">
        <v>45839</v>
      </c>
      <c r="U81" s="25">
        <f t="shared" si="2"/>
        <v>45869</v>
      </c>
      <c r="V81" s="24">
        <f>SUMIFS(Expense_Tracker_Table[Amount Spent],Expense_Tracker_Table[Expense Date],"&gt;="&amp;T81,Expense_Tracker_Table[Expense Date],"&lt;="&amp;U81)</f>
        <v>0</v>
      </c>
    </row>
    <row r="82" spans="20:22" x14ac:dyDescent="0.3">
      <c r="T82" s="25">
        <v>45870</v>
      </c>
      <c r="U82" s="25">
        <f t="shared" si="2"/>
        <v>45900</v>
      </c>
      <c r="V82" s="24">
        <f>SUMIFS(Expense_Tracker_Table[Amount Spent],Expense_Tracker_Table[Expense Date],"&gt;="&amp;T82,Expense_Tracker_Table[Expense Date],"&lt;="&amp;U82)</f>
        <v>0</v>
      </c>
    </row>
    <row r="83" spans="20:22" x14ac:dyDescent="0.3">
      <c r="T83" s="25">
        <v>45901</v>
      </c>
      <c r="U83" s="25">
        <f t="shared" si="2"/>
        <v>45930</v>
      </c>
      <c r="V83" s="24">
        <f>SUMIFS(Expense_Tracker_Table[Amount Spent],Expense_Tracker_Table[Expense Date],"&gt;="&amp;T83,Expense_Tracker_Table[Expense Date],"&lt;="&amp;U83)</f>
        <v>0</v>
      </c>
    </row>
    <row r="84" spans="20:22" x14ac:dyDescent="0.3">
      <c r="T84" s="25">
        <v>45931</v>
      </c>
      <c r="U84" s="25">
        <f t="shared" si="2"/>
        <v>45961</v>
      </c>
      <c r="V84" s="24">
        <f>SUMIFS(Expense_Tracker_Table[Amount Spent],Expense_Tracker_Table[Expense Date],"&gt;="&amp;T84,Expense_Tracker_Table[Expense Date],"&lt;="&amp;U84)</f>
        <v>0</v>
      </c>
    </row>
    <row r="85" spans="20:22" x14ac:dyDescent="0.3">
      <c r="T85" s="25">
        <v>45962</v>
      </c>
      <c r="U85" s="25">
        <f t="shared" si="2"/>
        <v>45991</v>
      </c>
      <c r="V85" s="24">
        <f>SUMIFS(Expense_Tracker_Table[Amount Spent],Expense_Tracker_Table[Expense Date],"&gt;="&amp;T85,Expense_Tracker_Table[Expense Date],"&lt;="&amp;U85)</f>
        <v>0</v>
      </c>
    </row>
    <row r="86" spans="20:22" x14ac:dyDescent="0.3">
      <c r="T86" s="25">
        <v>45992</v>
      </c>
      <c r="U86" s="25">
        <f t="shared" si="2"/>
        <v>46022</v>
      </c>
      <c r="V86" s="24">
        <f>SUMIFS(Expense_Tracker_Table[Amount Spent],Expense_Tracker_Table[Expense Date],"&gt;="&amp;T86,Expense_Tracker_Table[Expense Date],"&lt;="&amp;U86)</f>
        <v>0</v>
      </c>
    </row>
    <row r="87" spans="20:22" x14ac:dyDescent="0.3">
      <c r="T87" s="25">
        <v>46023</v>
      </c>
      <c r="U87" s="25">
        <f t="shared" si="2"/>
        <v>46053</v>
      </c>
      <c r="V87" s="24">
        <f>SUMIFS(Expense_Tracker_Table[Amount Spent],Expense_Tracker_Table[Expense Date],"&gt;="&amp;T87,Expense_Tracker_Table[Expense Date],"&lt;="&amp;U87)</f>
        <v>0</v>
      </c>
    </row>
    <row r="88" spans="20:22" x14ac:dyDescent="0.3">
      <c r="T88" s="25">
        <v>46054</v>
      </c>
      <c r="U88" s="25">
        <f t="shared" si="2"/>
        <v>46081</v>
      </c>
      <c r="V88" s="24">
        <f>SUMIFS(Expense_Tracker_Table[Amount Spent],Expense_Tracker_Table[Expense Date],"&gt;="&amp;T88,Expense_Tracker_Table[Expense Date],"&lt;="&amp;U88)</f>
        <v>0</v>
      </c>
    </row>
    <row r="89" spans="20:22" x14ac:dyDescent="0.3">
      <c r="T89" s="25">
        <v>46082</v>
      </c>
      <c r="U89" s="25">
        <f t="shared" si="2"/>
        <v>46112</v>
      </c>
      <c r="V89" s="24">
        <f>SUMIFS(Expense_Tracker_Table[Amount Spent],Expense_Tracker_Table[Expense Date],"&gt;="&amp;T89,Expense_Tracker_Table[Expense Date],"&lt;="&amp;U89)</f>
        <v>0</v>
      </c>
    </row>
    <row r="90" spans="20:22" x14ac:dyDescent="0.3">
      <c r="T90" s="25">
        <v>46113</v>
      </c>
      <c r="U90" s="25">
        <f t="shared" si="2"/>
        <v>46142</v>
      </c>
      <c r="V90" s="24">
        <f>SUMIFS(Expense_Tracker_Table[Amount Spent],Expense_Tracker_Table[Expense Date],"&gt;="&amp;T90,Expense_Tracker_Table[Expense Date],"&lt;="&amp;U90)</f>
        <v>0</v>
      </c>
    </row>
    <row r="91" spans="20:22" x14ac:dyDescent="0.3">
      <c r="T91" s="25">
        <v>46143</v>
      </c>
      <c r="U91" s="25">
        <f t="shared" si="2"/>
        <v>46173</v>
      </c>
      <c r="V91" s="24">
        <f>SUMIFS(Expense_Tracker_Table[Amount Spent],Expense_Tracker_Table[Expense Date],"&gt;="&amp;T91,Expense_Tracker_Table[Expense Date],"&lt;="&amp;U91)</f>
        <v>0</v>
      </c>
    </row>
    <row r="92" spans="20:22" x14ac:dyDescent="0.3">
      <c r="T92" s="25">
        <v>46174</v>
      </c>
      <c r="U92" s="25">
        <f t="shared" si="2"/>
        <v>46203</v>
      </c>
      <c r="V92" s="24">
        <f>SUMIFS(Expense_Tracker_Table[Amount Spent],Expense_Tracker_Table[Expense Date],"&gt;="&amp;T92,Expense_Tracker_Table[Expense Date],"&lt;="&amp;U92)</f>
        <v>0</v>
      </c>
    </row>
    <row r="93" spans="20:22" x14ac:dyDescent="0.3">
      <c r="T93" s="25">
        <v>46204</v>
      </c>
      <c r="U93" s="25">
        <f t="shared" si="2"/>
        <v>46234</v>
      </c>
      <c r="V93" s="24">
        <f>SUMIFS(Expense_Tracker_Table[Amount Spent],Expense_Tracker_Table[Expense Date],"&gt;="&amp;T93,Expense_Tracker_Table[Expense Date],"&lt;="&amp;U93)</f>
        <v>0</v>
      </c>
    </row>
    <row r="94" spans="20:22" x14ac:dyDescent="0.3">
      <c r="T94" s="25">
        <v>46235</v>
      </c>
      <c r="U94" s="25">
        <f t="shared" si="2"/>
        <v>46265</v>
      </c>
      <c r="V94" s="24">
        <f>SUMIFS(Expense_Tracker_Table[Amount Spent],Expense_Tracker_Table[Expense Date],"&gt;="&amp;T94,Expense_Tracker_Table[Expense Date],"&lt;="&amp;U94)</f>
        <v>0</v>
      </c>
    </row>
    <row r="95" spans="20:22" x14ac:dyDescent="0.3">
      <c r="T95" s="25">
        <v>46266</v>
      </c>
      <c r="U95" s="25">
        <f t="shared" si="2"/>
        <v>46295</v>
      </c>
      <c r="V95" s="24">
        <f>SUMIFS(Expense_Tracker_Table[Amount Spent],Expense_Tracker_Table[Expense Date],"&gt;="&amp;T95,Expense_Tracker_Table[Expense Date],"&lt;="&amp;U95)</f>
        <v>0</v>
      </c>
    </row>
    <row r="96" spans="20:22" x14ac:dyDescent="0.3">
      <c r="T96" s="25">
        <v>46296</v>
      </c>
      <c r="U96" s="25">
        <f t="shared" si="2"/>
        <v>46326</v>
      </c>
      <c r="V96" s="24">
        <f>SUMIFS(Expense_Tracker_Table[Amount Spent],Expense_Tracker_Table[Expense Date],"&gt;="&amp;T96,Expense_Tracker_Table[Expense Date],"&lt;="&amp;U96)</f>
        <v>0</v>
      </c>
    </row>
    <row r="97" spans="20:22" x14ac:dyDescent="0.3">
      <c r="T97" s="25">
        <v>46327</v>
      </c>
      <c r="U97" s="25">
        <f t="shared" si="2"/>
        <v>46356</v>
      </c>
      <c r="V97" s="24">
        <f>SUMIFS(Expense_Tracker_Table[Amount Spent],Expense_Tracker_Table[Expense Date],"&gt;="&amp;T97,Expense_Tracker_Table[Expense Date],"&lt;="&amp;U97)</f>
        <v>0</v>
      </c>
    </row>
    <row r="98" spans="20:22" x14ac:dyDescent="0.3">
      <c r="T98" s="25">
        <v>46357</v>
      </c>
      <c r="U98" s="25">
        <f t="shared" si="2"/>
        <v>46387</v>
      </c>
      <c r="V98" s="24">
        <f>SUMIFS(Expense_Tracker_Table[Amount Spent],Expense_Tracker_Table[Expense Date],"&gt;="&amp;T98,Expense_Tracker_Table[Expense Date],"&lt;="&amp;U98)</f>
        <v>0</v>
      </c>
    </row>
    <row r="99" spans="20:22" x14ac:dyDescent="0.3">
      <c r="T99" s="25">
        <v>46388</v>
      </c>
      <c r="U99" s="25">
        <f t="shared" si="2"/>
        <v>46418</v>
      </c>
      <c r="V99" s="24">
        <f>SUMIFS(Expense_Tracker_Table[Amount Spent],Expense_Tracker_Table[Expense Date],"&gt;="&amp;T99,Expense_Tracker_Table[Expense Date],"&lt;="&amp;U99)</f>
        <v>0</v>
      </c>
    </row>
    <row r="100" spans="20:22" x14ac:dyDescent="0.3">
      <c r="T100" s="25">
        <v>46419</v>
      </c>
      <c r="U100" s="25">
        <f t="shared" si="2"/>
        <v>46446</v>
      </c>
      <c r="V100" s="24">
        <f>SUMIFS(Expense_Tracker_Table[Amount Spent],Expense_Tracker_Table[Expense Date],"&gt;="&amp;T100,Expense_Tracker_Table[Expense Date],"&lt;="&amp;U100)</f>
        <v>0</v>
      </c>
    </row>
    <row r="101" spans="20:22" x14ac:dyDescent="0.3">
      <c r="T101" s="25">
        <v>46447</v>
      </c>
      <c r="U101" s="25">
        <f t="shared" si="2"/>
        <v>46477</v>
      </c>
      <c r="V101" s="24">
        <f>SUMIFS(Expense_Tracker_Table[Amount Spent],Expense_Tracker_Table[Expense Date],"&gt;="&amp;T101,Expense_Tracker_Table[Expense Date],"&lt;="&amp;U101)</f>
        <v>0</v>
      </c>
    </row>
    <row r="102" spans="20:22" x14ac:dyDescent="0.3">
      <c r="T102" s="25">
        <v>46478</v>
      </c>
      <c r="U102" s="25">
        <f t="shared" si="2"/>
        <v>46507</v>
      </c>
      <c r="V102" s="24">
        <f>SUMIFS(Expense_Tracker_Table[Amount Spent],Expense_Tracker_Table[Expense Date],"&gt;="&amp;T102,Expense_Tracker_Table[Expense Date],"&lt;="&amp;U102)</f>
        <v>0</v>
      </c>
    </row>
    <row r="103" spans="20:22" x14ac:dyDescent="0.3">
      <c r="T103" s="25">
        <v>46508</v>
      </c>
      <c r="U103" s="25">
        <f t="shared" si="2"/>
        <v>46538</v>
      </c>
      <c r="V103" s="24">
        <f>SUMIFS(Expense_Tracker_Table[Amount Spent],Expense_Tracker_Table[Expense Date],"&gt;="&amp;T103,Expense_Tracker_Table[Expense Date],"&lt;="&amp;U103)</f>
        <v>0</v>
      </c>
    </row>
    <row r="104" spans="20:22" x14ac:dyDescent="0.3">
      <c r="T104" s="25">
        <v>46539</v>
      </c>
      <c r="U104" s="25">
        <f t="shared" si="2"/>
        <v>46568</v>
      </c>
      <c r="V104" s="24">
        <f>SUMIFS(Expense_Tracker_Table[Amount Spent],Expense_Tracker_Table[Expense Date],"&gt;="&amp;T104,Expense_Tracker_Table[Expense Date],"&lt;="&amp;U104)</f>
        <v>0</v>
      </c>
    </row>
    <row r="105" spans="20:22" x14ac:dyDescent="0.3">
      <c r="T105" s="25">
        <v>46569</v>
      </c>
      <c r="U105" s="25">
        <f t="shared" si="2"/>
        <v>46599</v>
      </c>
      <c r="V105" s="24">
        <f>SUMIFS(Expense_Tracker_Table[Amount Spent],Expense_Tracker_Table[Expense Date],"&gt;="&amp;T105,Expense_Tracker_Table[Expense Date],"&lt;="&amp;U105)</f>
        <v>0</v>
      </c>
    </row>
    <row r="106" spans="20:22" x14ac:dyDescent="0.3">
      <c r="T106" s="25">
        <v>46600</v>
      </c>
      <c r="U106" s="25">
        <f t="shared" si="2"/>
        <v>46630</v>
      </c>
      <c r="V106" s="24">
        <f>SUMIFS(Expense_Tracker_Table[Amount Spent],Expense_Tracker_Table[Expense Date],"&gt;="&amp;T106,Expense_Tracker_Table[Expense Date],"&lt;="&amp;U106)</f>
        <v>0</v>
      </c>
    </row>
    <row r="107" spans="20:22" x14ac:dyDescent="0.3">
      <c r="T107" s="25">
        <v>46631</v>
      </c>
      <c r="U107" s="25">
        <f t="shared" si="2"/>
        <v>46660</v>
      </c>
      <c r="V107" s="24">
        <f>SUMIFS(Expense_Tracker_Table[Amount Spent],Expense_Tracker_Table[Expense Date],"&gt;="&amp;T107,Expense_Tracker_Table[Expense Date],"&lt;="&amp;U107)</f>
        <v>0</v>
      </c>
    </row>
    <row r="108" spans="20:22" x14ac:dyDescent="0.3">
      <c r="T108" s="25">
        <v>46661</v>
      </c>
      <c r="U108" s="25">
        <f t="shared" si="2"/>
        <v>46691</v>
      </c>
      <c r="V108" s="24">
        <f>SUMIFS(Expense_Tracker_Table[Amount Spent],Expense_Tracker_Table[Expense Date],"&gt;="&amp;T108,Expense_Tracker_Table[Expense Date],"&lt;="&amp;U108)</f>
        <v>0</v>
      </c>
    </row>
    <row r="109" spans="20:22" x14ac:dyDescent="0.3">
      <c r="T109" s="25">
        <v>46692</v>
      </c>
      <c r="U109" s="25">
        <f t="shared" si="2"/>
        <v>46721</v>
      </c>
      <c r="V109" s="24">
        <f>SUMIFS(Expense_Tracker_Table[Amount Spent],Expense_Tracker_Table[Expense Date],"&gt;="&amp;T109,Expense_Tracker_Table[Expense Date],"&lt;="&amp;U109)</f>
        <v>0</v>
      </c>
    </row>
    <row r="110" spans="20:22" x14ac:dyDescent="0.3">
      <c r="T110" s="25">
        <v>46722</v>
      </c>
      <c r="U110" s="25">
        <f t="shared" si="2"/>
        <v>46752</v>
      </c>
      <c r="V110" s="24">
        <f>SUMIFS(Expense_Tracker_Table[Amount Spent],Expense_Tracker_Table[Expense Date],"&gt;="&amp;T110,Expense_Tracker_Table[Expense Date],"&lt;="&amp;U110)</f>
        <v>0</v>
      </c>
    </row>
    <row r="111" spans="20:22" x14ac:dyDescent="0.3">
      <c r="T111" s="25">
        <v>46753</v>
      </c>
      <c r="U111" s="25">
        <f t="shared" si="2"/>
        <v>46783</v>
      </c>
      <c r="V111" s="24">
        <f>SUMIFS(Expense_Tracker_Table[Amount Spent],Expense_Tracker_Table[Expense Date],"&gt;="&amp;T111,Expense_Tracker_Table[Expense Date],"&lt;="&amp;U111)</f>
        <v>0</v>
      </c>
    </row>
    <row r="112" spans="20:22" x14ac:dyDescent="0.3">
      <c r="T112" s="25">
        <v>46784</v>
      </c>
      <c r="U112" s="25">
        <f t="shared" si="2"/>
        <v>46812</v>
      </c>
      <c r="V112" s="24">
        <f>SUMIFS(Expense_Tracker_Table[Amount Spent],Expense_Tracker_Table[Expense Date],"&gt;="&amp;T112,Expense_Tracker_Table[Expense Date],"&lt;="&amp;U112)</f>
        <v>0</v>
      </c>
    </row>
    <row r="113" spans="20:22" x14ac:dyDescent="0.3">
      <c r="T113" s="25">
        <v>46813</v>
      </c>
      <c r="U113" s="25">
        <f t="shared" si="2"/>
        <v>46843</v>
      </c>
      <c r="V113" s="24">
        <f>SUMIFS(Expense_Tracker_Table[Amount Spent],Expense_Tracker_Table[Expense Date],"&gt;="&amp;T113,Expense_Tracker_Table[Expense Date],"&lt;="&amp;U113)</f>
        <v>0</v>
      </c>
    </row>
    <row r="114" spans="20:22" x14ac:dyDescent="0.3">
      <c r="T114" s="25">
        <v>46844</v>
      </c>
      <c r="U114" s="25">
        <f t="shared" si="2"/>
        <v>46873</v>
      </c>
      <c r="V114" s="24">
        <f>SUMIFS(Expense_Tracker_Table[Amount Spent],Expense_Tracker_Table[Expense Date],"&gt;="&amp;T114,Expense_Tracker_Table[Expense Date],"&lt;="&amp;U114)</f>
        <v>0</v>
      </c>
    </row>
    <row r="115" spans="20:22" x14ac:dyDescent="0.3">
      <c r="T115" s="25">
        <v>46874</v>
      </c>
      <c r="U115" s="25">
        <f t="shared" si="2"/>
        <v>46904</v>
      </c>
      <c r="V115" s="24">
        <f>SUMIFS(Expense_Tracker_Table[Amount Spent],Expense_Tracker_Table[Expense Date],"&gt;="&amp;T115,Expense_Tracker_Table[Expense Date],"&lt;="&amp;U115)</f>
        <v>0</v>
      </c>
    </row>
    <row r="116" spans="20:22" x14ac:dyDescent="0.3">
      <c r="T116" s="25">
        <v>46905</v>
      </c>
      <c r="U116" s="25">
        <f t="shared" si="2"/>
        <v>46934</v>
      </c>
      <c r="V116" s="24">
        <f>SUMIFS(Expense_Tracker_Table[Amount Spent],Expense_Tracker_Table[Expense Date],"&gt;="&amp;T116,Expense_Tracker_Table[Expense Date],"&lt;="&amp;U116)</f>
        <v>0</v>
      </c>
    </row>
    <row r="117" spans="20:22" x14ac:dyDescent="0.3">
      <c r="T117" s="25">
        <v>46935</v>
      </c>
      <c r="U117" s="25">
        <f t="shared" si="2"/>
        <v>46965</v>
      </c>
      <c r="V117" s="24">
        <f>SUMIFS(Expense_Tracker_Table[Amount Spent],Expense_Tracker_Table[Expense Date],"&gt;="&amp;T117,Expense_Tracker_Table[Expense Date],"&lt;="&amp;U117)</f>
        <v>0</v>
      </c>
    </row>
    <row r="118" spans="20:22" x14ac:dyDescent="0.3">
      <c r="T118" s="25">
        <v>46966</v>
      </c>
      <c r="U118" s="25">
        <f t="shared" si="2"/>
        <v>46996</v>
      </c>
      <c r="V118" s="24">
        <f>SUMIFS(Expense_Tracker_Table[Amount Spent],Expense_Tracker_Table[Expense Date],"&gt;="&amp;T118,Expense_Tracker_Table[Expense Date],"&lt;="&amp;U118)</f>
        <v>0</v>
      </c>
    </row>
    <row r="119" spans="20:22" x14ac:dyDescent="0.3">
      <c r="T119" s="25">
        <v>46997</v>
      </c>
      <c r="U119" s="25">
        <f t="shared" si="2"/>
        <v>47026</v>
      </c>
      <c r="V119" s="24">
        <f>SUMIFS(Expense_Tracker_Table[Amount Spent],Expense_Tracker_Table[Expense Date],"&gt;="&amp;T119,Expense_Tracker_Table[Expense Date],"&lt;="&amp;U119)</f>
        <v>0</v>
      </c>
    </row>
    <row r="120" spans="20:22" x14ac:dyDescent="0.3">
      <c r="T120" s="25">
        <v>47027</v>
      </c>
      <c r="U120" s="25">
        <f t="shared" si="2"/>
        <v>47057</v>
      </c>
      <c r="V120" s="24">
        <f>SUMIFS(Expense_Tracker_Table[Amount Spent],Expense_Tracker_Table[Expense Date],"&gt;="&amp;T120,Expense_Tracker_Table[Expense Date],"&lt;="&amp;U120)</f>
        <v>0</v>
      </c>
    </row>
    <row r="121" spans="20:22" x14ac:dyDescent="0.3">
      <c r="T121" s="25">
        <v>47058</v>
      </c>
      <c r="U121" s="25">
        <f t="shared" si="2"/>
        <v>47087</v>
      </c>
      <c r="V121" s="24">
        <f>SUMIFS(Expense_Tracker_Table[Amount Spent],Expense_Tracker_Table[Expense Date],"&gt;="&amp;T121,Expense_Tracker_Table[Expense Date],"&lt;="&amp;U121)</f>
        <v>0</v>
      </c>
    </row>
    <row r="122" spans="20:22" x14ac:dyDescent="0.3">
      <c r="T122" s="25">
        <v>47088</v>
      </c>
      <c r="U122" s="25">
        <f t="shared" si="2"/>
        <v>47118</v>
      </c>
      <c r="V122" s="24">
        <f>SUMIFS(Expense_Tracker_Table[Amount Spent],Expense_Tracker_Table[Expense Date],"&gt;="&amp;T122,Expense_Tracker_Table[Expense Date],"&lt;="&amp;U122)</f>
        <v>0</v>
      </c>
    </row>
    <row r="123" spans="20:22" x14ac:dyDescent="0.3">
      <c r="T123" s="25">
        <v>47119</v>
      </c>
      <c r="U123" s="25">
        <f t="shared" si="2"/>
        <v>47149</v>
      </c>
      <c r="V123" s="24">
        <f>SUMIFS(Expense_Tracker_Table[Amount Spent],Expense_Tracker_Table[Expense Date],"&gt;="&amp;T123,Expense_Tracker_Table[Expense Date],"&lt;="&amp;U123)</f>
        <v>0</v>
      </c>
    </row>
    <row r="124" spans="20:22" x14ac:dyDescent="0.3">
      <c r="T124" s="25">
        <v>47150</v>
      </c>
      <c r="U124" s="25">
        <f t="shared" si="2"/>
        <v>47177</v>
      </c>
      <c r="V124" s="24">
        <f>SUMIFS(Expense_Tracker_Table[Amount Spent],Expense_Tracker_Table[Expense Date],"&gt;="&amp;T124,Expense_Tracker_Table[Expense Date],"&lt;="&amp;U124)</f>
        <v>0</v>
      </c>
    </row>
    <row r="125" spans="20:22" x14ac:dyDescent="0.3">
      <c r="T125" s="25">
        <v>47178</v>
      </c>
      <c r="U125" s="25">
        <f t="shared" si="2"/>
        <v>47208</v>
      </c>
      <c r="V125" s="24">
        <f>SUMIFS(Expense_Tracker_Table[Amount Spent],Expense_Tracker_Table[Expense Date],"&gt;="&amp;T125,Expense_Tracker_Table[Expense Date],"&lt;="&amp;U125)</f>
        <v>0</v>
      </c>
    </row>
    <row r="126" spans="20:22" x14ac:dyDescent="0.3">
      <c r="T126" s="25">
        <v>47209</v>
      </c>
      <c r="U126" s="25">
        <f t="shared" si="2"/>
        <v>47238</v>
      </c>
      <c r="V126" s="24">
        <f>SUMIFS(Expense_Tracker_Table[Amount Spent],Expense_Tracker_Table[Expense Date],"&gt;="&amp;T126,Expense_Tracker_Table[Expense Date],"&lt;="&amp;U126)</f>
        <v>0</v>
      </c>
    </row>
    <row r="127" spans="20:22" x14ac:dyDescent="0.3">
      <c r="T127" s="25">
        <v>47239</v>
      </c>
      <c r="U127" s="25">
        <f t="shared" si="2"/>
        <v>47269</v>
      </c>
      <c r="V127" s="24">
        <f>SUMIFS(Expense_Tracker_Table[Amount Spent],Expense_Tracker_Table[Expense Date],"&gt;="&amp;T127,Expense_Tracker_Table[Expense Date],"&lt;="&amp;U127)</f>
        <v>0</v>
      </c>
    </row>
    <row r="128" spans="20:22" x14ac:dyDescent="0.3">
      <c r="T128" s="25">
        <v>47270</v>
      </c>
      <c r="U128" s="25">
        <f t="shared" si="2"/>
        <v>47299</v>
      </c>
      <c r="V128" s="24">
        <f>SUMIFS(Expense_Tracker_Table[Amount Spent],Expense_Tracker_Table[Expense Date],"&gt;="&amp;T128,Expense_Tracker_Table[Expense Date],"&lt;="&amp;U128)</f>
        <v>0</v>
      </c>
    </row>
    <row r="129" spans="20:22" x14ac:dyDescent="0.3">
      <c r="T129" s="25">
        <v>47300</v>
      </c>
      <c r="U129" s="25">
        <f t="shared" si="2"/>
        <v>47330</v>
      </c>
      <c r="V129" s="24">
        <f>SUMIFS(Expense_Tracker_Table[Amount Spent],Expense_Tracker_Table[Expense Date],"&gt;="&amp;T129,Expense_Tracker_Table[Expense Date],"&lt;="&amp;U129)</f>
        <v>0</v>
      </c>
    </row>
    <row r="130" spans="20:22" x14ac:dyDescent="0.3">
      <c r="T130" s="25">
        <v>47331</v>
      </c>
      <c r="U130" s="25">
        <f t="shared" si="2"/>
        <v>47361</v>
      </c>
      <c r="V130" s="24">
        <f>SUMIFS(Expense_Tracker_Table[Amount Spent],Expense_Tracker_Table[Expense Date],"&gt;="&amp;T130,Expense_Tracker_Table[Expense Date],"&lt;="&amp;U130)</f>
        <v>0</v>
      </c>
    </row>
    <row r="131" spans="20:22" x14ac:dyDescent="0.3">
      <c r="T131" s="25">
        <v>47362</v>
      </c>
      <c r="U131" s="25">
        <f t="shared" si="2"/>
        <v>47391</v>
      </c>
      <c r="V131" s="24">
        <f>SUMIFS(Expense_Tracker_Table[Amount Spent],Expense_Tracker_Table[Expense Date],"&gt;="&amp;T131,Expense_Tracker_Table[Expense Date],"&lt;="&amp;U131)</f>
        <v>0</v>
      </c>
    </row>
    <row r="132" spans="20:22" x14ac:dyDescent="0.3">
      <c r="T132" s="25">
        <v>47392</v>
      </c>
      <c r="U132" s="25">
        <f t="shared" si="2"/>
        <v>47422</v>
      </c>
      <c r="V132" s="24">
        <f>SUMIFS(Expense_Tracker_Table[Amount Spent],Expense_Tracker_Table[Expense Date],"&gt;="&amp;T132,Expense_Tracker_Table[Expense Date],"&lt;="&amp;U132)</f>
        <v>0</v>
      </c>
    </row>
    <row r="133" spans="20:22" x14ac:dyDescent="0.3">
      <c r="T133" s="25">
        <v>47423</v>
      </c>
      <c r="U133" s="25">
        <f t="shared" si="2"/>
        <v>47452</v>
      </c>
      <c r="V133" s="24">
        <f>SUMIFS(Expense_Tracker_Table[Amount Spent],Expense_Tracker_Table[Expense Date],"&gt;="&amp;T133,Expense_Tracker_Table[Expense Date],"&lt;="&amp;U133)</f>
        <v>0</v>
      </c>
    </row>
    <row r="134" spans="20:22" x14ac:dyDescent="0.3">
      <c r="T134" s="25">
        <v>47453</v>
      </c>
      <c r="U134" s="25">
        <f t="shared" si="2"/>
        <v>47483</v>
      </c>
      <c r="V134" s="24">
        <f>SUMIFS(Expense_Tracker_Table[Amount Spent],Expense_Tracker_Table[Expense Date],"&gt;="&amp;T134,Expense_Tracker_Table[Expense Date],"&lt;="&amp;U134)</f>
        <v>0</v>
      </c>
    </row>
    <row r="135" spans="20:22" x14ac:dyDescent="0.3">
      <c r="T135" s="25">
        <v>47484</v>
      </c>
      <c r="U135" s="25">
        <f t="shared" si="2"/>
        <v>47514</v>
      </c>
      <c r="V135" s="24">
        <f>SUMIFS(Expense_Tracker_Table[Amount Spent],Expense_Tracker_Table[Expense Date],"&gt;="&amp;T135,Expense_Tracker_Table[Expense Date],"&lt;="&amp;U135)</f>
        <v>0</v>
      </c>
    </row>
    <row r="136" spans="20:22" x14ac:dyDescent="0.3">
      <c r="T136" s="25">
        <v>47515</v>
      </c>
      <c r="U136" s="25">
        <f t="shared" si="2"/>
        <v>47542</v>
      </c>
      <c r="V136" s="24">
        <f>SUMIFS(Expense_Tracker_Table[Amount Spent],Expense_Tracker_Table[Expense Date],"&gt;="&amp;T136,Expense_Tracker_Table[Expense Date],"&lt;="&amp;U136)</f>
        <v>0</v>
      </c>
    </row>
    <row r="137" spans="20:22" x14ac:dyDescent="0.3">
      <c r="T137" s="25">
        <v>47543</v>
      </c>
      <c r="U137" s="25">
        <f t="shared" ref="U137:U200" si="3">EOMONTH(T137,0)</f>
        <v>47573</v>
      </c>
      <c r="V137" s="24">
        <f>SUMIFS(Expense_Tracker_Table[Amount Spent],Expense_Tracker_Table[Expense Date],"&gt;="&amp;T137,Expense_Tracker_Table[Expense Date],"&lt;="&amp;U137)</f>
        <v>0</v>
      </c>
    </row>
    <row r="138" spans="20:22" x14ac:dyDescent="0.3">
      <c r="T138" s="25">
        <v>47574</v>
      </c>
      <c r="U138" s="25">
        <f t="shared" si="3"/>
        <v>47603</v>
      </c>
      <c r="V138" s="24">
        <f>SUMIFS(Expense_Tracker_Table[Amount Spent],Expense_Tracker_Table[Expense Date],"&gt;="&amp;T138,Expense_Tracker_Table[Expense Date],"&lt;="&amp;U138)</f>
        <v>0</v>
      </c>
    </row>
    <row r="139" spans="20:22" x14ac:dyDescent="0.3">
      <c r="T139" s="25">
        <v>47604</v>
      </c>
      <c r="U139" s="25">
        <f t="shared" si="3"/>
        <v>47634</v>
      </c>
      <c r="V139" s="24">
        <f>SUMIFS(Expense_Tracker_Table[Amount Spent],Expense_Tracker_Table[Expense Date],"&gt;="&amp;T139,Expense_Tracker_Table[Expense Date],"&lt;="&amp;U139)</f>
        <v>0</v>
      </c>
    </row>
    <row r="140" spans="20:22" x14ac:dyDescent="0.3">
      <c r="T140" s="25">
        <v>47635</v>
      </c>
      <c r="U140" s="25">
        <f t="shared" si="3"/>
        <v>47664</v>
      </c>
      <c r="V140" s="24">
        <f>SUMIFS(Expense_Tracker_Table[Amount Spent],Expense_Tracker_Table[Expense Date],"&gt;="&amp;T140,Expense_Tracker_Table[Expense Date],"&lt;="&amp;U140)</f>
        <v>0</v>
      </c>
    </row>
    <row r="141" spans="20:22" x14ac:dyDescent="0.3">
      <c r="T141" s="25">
        <v>47665</v>
      </c>
      <c r="U141" s="25">
        <f t="shared" si="3"/>
        <v>47695</v>
      </c>
      <c r="V141" s="24">
        <f>SUMIFS(Expense_Tracker_Table[Amount Spent],Expense_Tracker_Table[Expense Date],"&gt;="&amp;T141,Expense_Tracker_Table[Expense Date],"&lt;="&amp;U141)</f>
        <v>0</v>
      </c>
    </row>
    <row r="142" spans="20:22" x14ac:dyDescent="0.3">
      <c r="T142" s="25">
        <v>47696</v>
      </c>
      <c r="U142" s="25">
        <f t="shared" si="3"/>
        <v>47726</v>
      </c>
      <c r="V142" s="24">
        <f>SUMIFS(Expense_Tracker_Table[Amount Spent],Expense_Tracker_Table[Expense Date],"&gt;="&amp;T142,Expense_Tracker_Table[Expense Date],"&lt;="&amp;U142)</f>
        <v>0</v>
      </c>
    </row>
    <row r="143" spans="20:22" x14ac:dyDescent="0.3">
      <c r="T143" s="25">
        <v>47727</v>
      </c>
      <c r="U143" s="25">
        <f t="shared" si="3"/>
        <v>47756</v>
      </c>
      <c r="V143" s="24">
        <f>SUMIFS(Expense_Tracker_Table[Amount Spent],Expense_Tracker_Table[Expense Date],"&gt;="&amp;T143,Expense_Tracker_Table[Expense Date],"&lt;="&amp;U143)</f>
        <v>0</v>
      </c>
    </row>
    <row r="144" spans="20:22" x14ac:dyDescent="0.3">
      <c r="T144" s="25">
        <v>47757</v>
      </c>
      <c r="U144" s="25">
        <f t="shared" si="3"/>
        <v>47787</v>
      </c>
      <c r="V144" s="24">
        <f>SUMIFS(Expense_Tracker_Table[Amount Spent],Expense_Tracker_Table[Expense Date],"&gt;="&amp;T144,Expense_Tracker_Table[Expense Date],"&lt;="&amp;U144)</f>
        <v>0</v>
      </c>
    </row>
    <row r="145" spans="20:22" x14ac:dyDescent="0.3">
      <c r="T145" s="25">
        <v>47788</v>
      </c>
      <c r="U145" s="25">
        <f t="shared" si="3"/>
        <v>47817</v>
      </c>
      <c r="V145" s="24">
        <f>SUMIFS(Expense_Tracker_Table[Amount Spent],Expense_Tracker_Table[Expense Date],"&gt;="&amp;T145,Expense_Tracker_Table[Expense Date],"&lt;="&amp;U145)</f>
        <v>0</v>
      </c>
    </row>
    <row r="146" spans="20:22" x14ac:dyDescent="0.3">
      <c r="T146" s="25">
        <v>47818</v>
      </c>
      <c r="U146" s="25">
        <f t="shared" si="3"/>
        <v>47848</v>
      </c>
      <c r="V146" s="24">
        <f>SUMIFS(Expense_Tracker_Table[Amount Spent],Expense_Tracker_Table[Expense Date],"&gt;="&amp;T146,Expense_Tracker_Table[Expense Date],"&lt;="&amp;U146)</f>
        <v>0</v>
      </c>
    </row>
    <row r="147" spans="20:22" x14ac:dyDescent="0.3">
      <c r="T147" s="25">
        <v>47849</v>
      </c>
      <c r="U147" s="25">
        <f t="shared" si="3"/>
        <v>47879</v>
      </c>
      <c r="V147" s="24">
        <f>SUMIFS(Expense_Tracker_Table[Amount Spent],Expense_Tracker_Table[Expense Date],"&gt;="&amp;T147,Expense_Tracker_Table[Expense Date],"&lt;="&amp;U147)</f>
        <v>0</v>
      </c>
    </row>
    <row r="148" spans="20:22" x14ac:dyDescent="0.3">
      <c r="T148" s="25">
        <v>47880</v>
      </c>
      <c r="U148" s="25">
        <f t="shared" si="3"/>
        <v>47907</v>
      </c>
      <c r="V148" s="24">
        <f>SUMIFS(Expense_Tracker_Table[Amount Spent],Expense_Tracker_Table[Expense Date],"&gt;="&amp;T148,Expense_Tracker_Table[Expense Date],"&lt;="&amp;U148)</f>
        <v>0</v>
      </c>
    </row>
    <row r="149" spans="20:22" x14ac:dyDescent="0.3">
      <c r="T149" s="25">
        <v>47908</v>
      </c>
      <c r="U149" s="25">
        <f t="shared" si="3"/>
        <v>47938</v>
      </c>
      <c r="V149" s="24">
        <f>SUMIFS(Expense_Tracker_Table[Amount Spent],Expense_Tracker_Table[Expense Date],"&gt;="&amp;T149,Expense_Tracker_Table[Expense Date],"&lt;="&amp;U149)</f>
        <v>0</v>
      </c>
    </row>
    <row r="150" spans="20:22" x14ac:dyDescent="0.3">
      <c r="T150" s="25">
        <v>47939</v>
      </c>
      <c r="U150" s="25">
        <f t="shared" si="3"/>
        <v>47968</v>
      </c>
      <c r="V150" s="24">
        <f>SUMIFS(Expense_Tracker_Table[Amount Spent],Expense_Tracker_Table[Expense Date],"&gt;="&amp;T150,Expense_Tracker_Table[Expense Date],"&lt;="&amp;U150)</f>
        <v>0</v>
      </c>
    </row>
    <row r="151" spans="20:22" x14ac:dyDescent="0.3">
      <c r="T151" s="25">
        <v>47969</v>
      </c>
      <c r="U151" s="25">
        <f t="shared" si="3"/>
        <v>47999</v>
      </c>
      <c r="V151" s="24">
        <f>SUMIFS(Expense_Tracker_Table[Amount Spent],Expense_Tracker_Table[Expense Date],"&gt;="&amp;T151,Expense_Tracker_Table[Expense Date],"&lt;="&amp;U151)</f>
        <v>0</v>
      </c>
    </row>
    <row r="152" spans="20:22" x14ac:dyDescent="0.3">
      <c r="T152" s="25">
        <v>48000</v>
      </c>
      <c r="U152" s="25">
        <f t="shared" si="3"/>
        <v>48029</v>
      </c>
      <c r="V152" s="24">
        <f>SUMIFS(Expense_Tracker_Table[Amount Spent],Expense_Tracker_Table[Expense Date],"&gt;="&amp;T152,Expense_Tracker_Table[Expense Date],"&lt;="&amp;U152)</f>
        <v>0</v>
      </c>
    </row>
    <row r="153" spans="20:22" x14ac:dyDescent="0.3">
      <c r="T153" s="25">
        <v>48030</v>
      </c>
      <c r="U153" s="25">
        <f t="shared" si="3"/>
        <v>48060</v>
      </c>
      <c r="V153" s="24">
        <f>SUMIFS(Expense_Tracker_Table[Amount Spent],Expense_Tracker_Table[Expense Date],"&gt;="&amp;T153,Expense_Tracker_Table[Expense Date],"&lt;="&amp;U153)</f>
        <v>0</v>
      </c>
    </row>
    <row r="154" spans="20:22" x14ac:dyDescent="0.3">
      <c r="T154" s="25">
        <v>48061</v>
      </c>
      <c r="U154" s="25">
        <f t="shared" si="3"/>
        <v>48091</v>
      </c>
      <c r="V154" s="24">
        <f>SUMIFS(Expense_Tracker_Table[Amount Spent],Expense_Tracker_Table[Expense Date],"&gt;="&amp;T154,Expense_Tracker_Table[Expense Date],"&lt;="&amp;U154)</f>
        <v>0</v>
      </c>
    </row>
    <row r="155" spans="20:22" x14ac:dyDescent="0.3">
      <c r="T155" s="25">
        <v>48092</v>
      </c>
      <c r="U155" s="25">
        <f t="shared" si="3"/>
        <v>48121</v>
      </c>
      <c r="V155" s="24">
        <f>SUMIFS(Expense_Tracker_Table[Amount Spent],Expense_Tracker_Table[Expense Date],"&gt;="&amp;T155,Expense_Tracker_Table[Expense Date],"&lt;="&amp;U155)</f>
        <v>0</v>
      </c>
    </row>
    <row r="156" spans="20:22" x14ac:dyDescent="0.3">
      <c r="T156" s="25">
        <v>48122</v>
      </c>
      <c r="U156" s="25">
        <f t="shared" si="3"/>
        <v>48152</v>
      </c>
      <c r="V156" s="24">
        <f>SUMIFS(Expense_Tracker_Table[Amount Spent],Expense_Tracker_Table[Expense Date],"&gt;="&amp;T156,Expense_Tracker_Table[Expense Date],"&lt;="&amp;U156)</f>
        <v>0</v>
      </c>
    </row>
    <row r="157" spans="20:22" x14ac:dyDescent="0.3">
      <c r="T157" s="25">
        <v>48153</v>
      </c>
      <c r="U157" s="25">
        <f t="shared" si="3"/>
        <v>48182</v>
      </c>
      <c r="V157" s="24">
        <f>SUMIFS(Expense_Tracker_Table[Amount Spent],Expense_Tracker_Table[Expense Date],"&gt;="&amp;T157,Expense_Tracker_Table[Expense Date],"&lt;="&amp;U157)</f>
        <v>0</v>
      </c>
    </row>
    <row r="158" spans="20:22" x14ac:dyDescent="0.3">
      <c r="T158" s="25">
        <v>48183</v>
      </c>
      <c r="U158" s="25">
        <f t="shared" si="3"/>
        <v>48213</v>
      </c>
      <c r="V158" s="24">
        <f>SUMIFS(Expense_Tracker_Table[Amount Spent],Expense_Tracker_Table[Expense Date],"&gt;="&amp;T158,Expense_Tracker_Table[Expense Date],"&lt;="&amp;U158)</f>
        <v>0</v>
      </c>
    </row>
    <row r="159" spans="20:22" x14ac:dyDescent="0.3">
      <c r="T159" s="25">
        <v>48214</v>
      </c>
      <c r="U159" s="25">
        <f t="shared" si="3"/>
        <v>48244</v>
      </c>
      <c r="V159" s="24">
        <f>SUMIFS(Expense_Tracker_Table[Amount Spent],Expense_Tracker_Table[Expense Date],"&gt;="&amp;T159,Expense_Tracker_Table[Expense Date],"&lt;="&amp;U159)</f>
        <v>0</v>
      </c>
    </row>
    <row r="160" spans="20:22" x14ac:dyDescent="0.3">
      <c r="T160" s="25">
        <v>48245</v>
      </c>
      <c r="U160" s="25">
        <f t="shared" si="3"/>
        <v>48273</v>
      </c>
      <c r="V160" s="24">
        <f>SUMIFS(Expense_Tracker_Table[Amount Spent],Expense_Tracker_Table[Expense Date],"&gt;="&amp;T160,Expense_Tracker_Table[Expense Date],"&lt;="&amp;U160)</f>
        <v>0</v>
      </c>
    </row>
    <row r="161" spans="20:22" x14ac:dyDescent="0.3">
      <c r="T161" s="25">
        <v>48274</v>
      </c>
      <c r="U161" s="25">
        <f t="shared" si="3"/>
        <v>48304</v>
      </c>
      <c r="V161" s="24">
        <f>SUMIFS(Expense_Tracker_Table[Amount Spent],Expense_Tracker_Table[Expense Date],"&gt;="&amp;T161,Expense_Tracker_Table[Expense Date],"&lt;="&amp;U161)</f>
        <v>0</v>
      </c>
    </row>
    <row r="162" spans="20:22" x14ac:dyDescent="0.3">
      <c r="T162" s="25">
        <v>48305</v>
      </c>
      <c r="U162" s="25">
        <f t="shared" si="3"/>
        <v>48334</v>
      </c>
      <c r="V162" s="24">
        <f>SUMIFS(Expense_Tracker_Table[Amount Spent],Expense_Tracker_Table[Expense Date],"&gt;="&amp;T162,Expense_Tracker_Table[Expense Date],"&lt;="&amp;U162)</f>
        <v>0</v>
      </c>
    </row>
    <row r="163" spans="20:22" x14ac:dyDescent="0.3">
      <c r="T163" s="25">
        <v>48335</v>
      </c>
      <c r="U163" s="25">
        <f t="shared" si="3"/>
        <v>48365</v>
      </c>
      <c r="V163" s="24">
        <f>SUMIFS(Expense_Tracker_Table[Amount Spent],Expense_Tracker_Table[Expense Date],"&gt;="&amp;T163,Expense_Tracker_Table[Expense Date],"&lt;="&amp;U163)</f>
        <v>0</v>
      </c>
    </row>
    <row r="164" spans="20:22" x14ac:dyDescent="0.3">
      <c r="T164" s="25">
        <v>48366</v>
      </c>
      <c r="U164" s="25">
        <f t="shared" si="3"/>
        <v>48395</v>
      </c>
      <c r="V164" s="24">
        <f>SUMIFS(Expense_Tracker_Table[Amount Spent],Expense_Tracker_Table[Expense Date],"&gt;="&amp;T164,Expense_Tracker_Table[Expense Date],"&lt;="&amp;U164)</f>
        <v>0</v>
      </c>
    </row>
    <row r="165" spans="20:22" x14ac:dyDescent="0.3">
      <c r="T165" s="25">
        <v>48396</v>
      </c>
      <c r="U165" s="25">
        <f t="shared" si="3"/>
        <v>48426</v>
      </c>
      <c r="V165" s="24">
        <f>SUMIFS(Expense_Tracker_Table[Amount Spent],Expense_Tracker_Table[Expense Date],"&gt;="&amp;T165,Expense_Tracker_Table[Expense Date],"&lt;="&amp;U165)</f>
        <v>0</v>
      </c>
    </row>
    <row r="166" spans="20:22" x14ac:dyDescent="0.3">
      <c r="T166" s="25">
        <v>48427</v>
      </c>
      <c r="U166" s="25">
        <f t="shared" si="3"/>
        <v>48457</v>
      </c>
      <c r="V166" s="24">
        <f>SUMIFS(Expense_Tracker_Table[Amount Spent],Expense_Tracker_Table[Expense Date],"&gt;="&amp;T166,Expense_Tracker_Table[Expense Date],"&lt;="&amp;U166)</f>
        <v>0</v>
      </c>
    </row>
    <row r="167" spans="20:22" x14ac:dyDescent="0.3">
      <c r="T167" s="25">
        <v>48458</v>
      </c>
      <c r="U167" s="25">
        <f t="shared" si="3"/>
        <v>48487</v>
      </c>
      <c r="V167" s="24">
        <f>SUMIFS(Expense_Tracker_Table[Amount Spent],Expense_Tracker_Table[Expense Date],"&gt;="&amp;T167,Expense_Tracker_Table[Expense Date],"&lt;="&amp;U167)</f>
        <v>0</v>
      </c>
    </row>
    <row r="168" spans="20:22" x14ac:dyDescent="0.3">
      <c r="T168" s="25">
        <v>48488</v>
      </c>
      <c r="U168" s="25">
        <f t="shared" si="3"/>
        <v>48518</v>
      </c>
      <c r="V168" s="24">
        <f>SUMIFS(Expense_Tracker_Table[Amount Spent],Expense_Tracker_Table[Expense Date],"&gt;="&amp;T168,Expense_Tracker_Table[Expense Date],"&lt;="&amp;U168)</f>
        <v>0</v>
      </c>
    </row>
    <row r="169" spans="20:22" x14ac:dyDescent="0.3">
      <c r="T169" s="25">
        <v>48519</v>
      </c>
      <c r="U169" s="25">
        <f t="shared" si="3"/>
        <v>48548</v>
      </c>
      <c r="V169" s="24">
        <f>SUMIFS(Expense_Tracker_Table[Amount Spent],Expense_Tracker_Table[Expense Date],"&gt;="&amp;T169,Expense_Tracker_Table[Expense Date],"&lt;="&amp;U169)</f>
        <v>0</v>
      </c>
    </row>
    <row r="170" spans="20:22" x14ac:dyDescent="0.3">
      <c r="T170" s="25">
        <v>48549</v>
      </c>
      <c r="U170" s="25">
        <f t="shared" si="3"/>
        <v>48579</v>
      </c>
      <c r="V170" s="24">
        <f>SUMIFS(Expense_Tracker_Table[Amount Spent],Expense_Tracker_Table[Expense Date],"&gt;="&amp;T170,Expense_Tracker_Table[Expense Date],"&lt;="&amp;U170)</f>
        <v>0</v>
      </c>
    </row>
    <row r="171" spans="20:22" x14ac:dyDescent="0.3">
      <c r="T171" s="25">
        <v>48580</v>
      </c>
      <c r="U171" s="25">
        <f t="shared" si="3"/>
        <v>48610</v>
      </c>
      <c r="V171" s="24">
        <f>SUMIFS(Expense_Tracker_Table[Amount Spent],Expense_Tracker_Table[Expense Date],"&gt;="&amp;T171,Expense_Tracker_Table[Expense Date],"&lt;="&amp;U171)</f>
        <v>0</v>
      </c>
    </row>
    <row r="172" spans="20:22" x14ac:dyDescent="0.3">
      <c r="T172" s="25">
        <v>48611</v>
      </c>
      <c r="U172" s="25">
        <f t="shared" si="3"/>
        <v>48638</v>
      </c>
      <c r="V172" s="24">
        <f>SUMIFS(Expense_Tracker_Table[Amount Spent],Expense_Tracker_Table[Expense Date],"&gt;="&amp;T172,Expense_Tracker_Table[Expense Date],"&lt;="&amp;U172)</f>
        <v>0</v>
      </c>
    </row>
    <row r="173" spans="20:22" x14ac:dyDescent="0.3">
      <c r="T173" s="25">
        <v>48639</v>
      </c>
      <c r="U173" s="25">
        <f t="shared" si="3"/>
        <v>48669</v>
      </c>
      <c r="V173" s="24">
        <f>SUMIFS(Expense_Tracker_Table[Amount Spent],Expense_Tracker_Table[Expense Date],"&gt;="&amp;T173,Expense_Tracker_Table[Expense Date],"&lt;="&amp;U173)</f>
        <v>0</v>
      </c>
    </row>
    <row r="174" spans="20:22" x14ac:dyDescent="0.3">
      <c r="T174" s="25">
        <v>48670</v>
      </c>
      <c r="U174" s="25">
        <f t="shared" si="3"/>
        <v>48699</v>
      </c>
      <c r="V174" s="24">
        <f>SUMIFS(Expense_Tracker_Table[Amount Spent],Expense_Tracker_Table[Expense Date],"&gt;="&amp;T174,Expense_Tracker_Table[Expense Date],"&lt;="&amp;U174)</f>
        <v>0</v>
      </c>
    </row>
    <row r="175" spans="20:22" x14ac:dyDescent="0.3">
      <c r="T175" s="25">
        <v>48700</v>
      </c>
      <c r="U175" s="25">
        <f t="shared" si="3"/>
        <v>48730</v>
      </c>
      <c r="V175" s="24">
        <f>SUMIFS(Expense_Tracker_Table[Amount Spent],Expense_Tracker_Table[Expense Date],"&gt;="&amp;T175,Expense_Tracker_Table[Expense Date],"&lt;="&amp;U175)</f>
        <v>0</v>
      </c>
    </row>
    <row r="176" spans="20:22" x14ac:dyDescent="0.3">
      <c r="T176" s="25">
        <v>48731</v>
      </c>
      <c r="U176" s="25">
        <f t="shared" si="3"/>
        <v>48760</v>
      </c>
      <c r="V176" s="24">
        <f>SUMIFS(Expense_Tracker_Table[Amount Spent],Expense_Tracker_Table[Expense Date],"&gt;="&amp;T176,Expense_Tracker_Table[Expense Date],"&lt;="&amp;U176)</f>
        <v>0</v>
      </c>
    </row>
    <row r="177" spans="20:22" x14ac:dyDescent="0.3">
      <c r="T177" s="25">
        <v>48761</v>
      </c>
      <c r="U177" s="25">
        <f t="shared" si="3"/>
        <v>48791</v>
      </c>
      <c r="V177" s="24">
        <f>SUMIFS(Expense_Tracker_Table[Amount Spent],Expense_Tracker_Table[Expense Date],"&gt;="&amp;T177,Expense_Tracker_Table[Expense Date],"&lt;="&amp;U177)</f>
        <v>0</v>
      </c>
    </row>
    <row r="178" spans="20:22" x14ac:dyDescent="0.3">
      <c r="T178" s="25">
        <v>48792</v>
      </c>
      <c r="U178" s="25">
        <f t="shared" si="3"/>
        <v>48822</v>
      </c>
      <c r="V178" s="24">
        <f>SUMIFS(Expense_Tracker_Table[Amount Spent],Expense_Tracker_Table[Expense Date],"&gt;="&amp;T178,Expense_Tracker_Table[Expense Date],"&lt;="&amp;U178)</f>
        <v>0</v>
      </c>
    </row>
    <row r="179" spans="20:22" x14ac:dyDescent="0.3">
      <c r="T179" s="25">
        <v>48823</v>
      </c>
      <c r="U179" s="25">
        <f t="shared" si="3"/>
        <v>48852</v>
      </c>
      <c r="V179" s="24">
        <f>SUMIFS(Expense_Tracker_Table[Amount Spent],Expense_Tracker_Table[Expense Date],"&gt;="&amp;T179,Expense_Tracker_Table[Expense Date],"&lt;="&amp;U179)</f>
        <v>0</v>
      </c>
    </row>
    <row r="180" spans="20:22" x14ac:dyDescent="0.3">
      <c r="T180" s="25">
        <v>48853</v>
      </c>
      <c r="U180" s="25">
        <f t="shared" si="3"/>
        <v>48883</v>
      </c>
      <c r="V180" s="24">
        <f>SUMIFS(Expense_Tracker_Table[Amount Spent],Expense_Tracker_Table[Expense Date],"&gt;="&amp;T180,Expense_Tracker_Table[Expense Date],"&lt;="&amp;U180)</f>
        <v>0</v>
      </c>
    </row>
    <row r="181" spans="20:22" x14ac:dyDescent="0.3">
      <c r="T181" s="25">
        <v>48884</v>
      </c>
      <c r="U181" s="25">
        <f t="shared" si="3"/>
        <v>48913</v>
      </c>
      <c r="V181" s="24">
        <f>SUMIFS(Expense_Tracker_Table[Amount Spent],Expense_Tracker_Table[Expense Date],"&gt;="&amp;T181,Expense_Tracker_Table[Expense Date],"&lt;="&amp;U181)</f>
        <v>0</v>
      </c>
    </row>
    <row r="182" spans="20:22" x14ac:dyDescent="0.3">
      <c r="T182" s="25">
        <v>48914</v>
      </c>
      <c r="U182" s="25">
        <f t="shared" si="3"/>
        <v>48944</v>
      </c>
      <c r="V182" s="24">
        <f>SUMIFS(Expense_Tracker_Table[Amount Spent],Expense_Tracker_Table[Expense Date],"&gt;="&amp;T182,Expense_Tracker_Table[Expense Date],"&lt;="&amp;U182)</f>
        <v>0</v>
      </c>
    </row>
    <row r="183" spans="20:22" x14ac:dyDescent="0.3">
      <c r="T183" s="25">
        <v>48945</v>
      </c>
      <c r="U183" s="25">
        <f t="shared" si="3"/>
        <v>48975</v>
      </c>
      <c r="V183" s="24">
        <f>SUMIFS(Expense_Tracker_Table[Amount Spent],Expense_Tracker_Table[Expense Date],"&gt;="&amp;T183,Expense_Tracker_Table[Expense Date],"&lt;="&amp;U183)</f>
        <v>0</v>
      </c>
    </row>
    <row r="184" spans="20:22" x14ac:dyDescent="0.3">
      <c r="T184" s="25">
        <v>48976</v>
      </c>
      <c r="U184" s="25">
        <f t="shared" si="3"/>
        <v>49003</v>
      </c>
      <c r="V184" s="24">
        <f>SUMIFS(Expense_Tracker_Table[Amount Spent],Expense_Tracker_Table[Expense Date],"&gt;="&amp;T184,Expense_Tracker_Table[Expense Date],"&lt;="&amp;U184)</f>
        <v>0</v>
      </c>
    </row>
    <row r="185" spans="20:22" x14ac:dyDescent="0.3">
      <c r="T185" s="25">
        <v>49004</v>
      </c>
      <c r="U185" s="25">
        <f t="shared" si="3"/>
        <v>49034</v>
      </c>
      <c r="V185" s="24">
        <f>SUMIFS(Expense_Tracker_Table[Amount Spent],Expense_Tracker_Table[Expense Date],"&gt;="&amp;T185,Expense_Tracker_Table[Expense Date],"&lt;="&amp;U185)</f>
        <v>0</v>
      </c>
    </row>
    <row r="186" spans="20:22" x14ac:dyDescent="0.3">
      <c r="T186" s="25">
        <v>49035</v>
      </c>
      <c r="U186" s="25">
        <f t="shared" si="3"/>
        <v>49064</v>
      </c>
      <c r="V186" s="24">
        <f>SUMIFS(Expense_Tracker_Table[Amount Spent],Expense_Tracker_Table[Expense Date],"&gt;="&amp;T186,Expense_Tracker_Table[Expense Date],"&lt;="&amp;U186)</f>
        <v>0</v>
      </c>
    </row>
    <row r="187" spans="20:22" x14ac:dyDescent="0.3">
      <c r="T187" s="25">
        <v>49065</v>
      </c>
      <c r="U187" s="25">
        <f t="shared" si="3"/>
        <v>49095</v>
      </c>
      <c r="V187" s="24">
        <f>SUMIFS(Expense_Tracker_Table[Amount Spent],Expense_Tracker_Table[Expense Date],"&gt;="&amp;T187,Expense_Tracker_Table[Expense Date],"&lt;="&amp;U187)</f>
        <v>0</v>
      </c>
    </row>
    <row r="188" spans="20:22" x14ac:dyDescent="0.3">
      <c r="T188" s="25">
        <v>49096</v>
      </c>
      <c r="U188" s="25">
        <f t="shared" si="3"/>
        <v>49125</v>
      </c>
      <c r="V188" s="24">
        <f>SUMIFS(Expense_Tracker_Table[Amount Spent],Expense_Tracker_Table[Expense Date],"&gt;="&amp;T188,Expense_Tracker_Table[Expense Date],"&lt;="&amp;U188)</f>
        <v>0</v>
      </c>
    </row>
    <row r="189" spans="20:22" x14ac:dyDescent="0.3">
      <c r="T189" s="25">
        <v>49126</v>
      </c>
      <c r="U189" s="25">
        <f t="shared" si="3"/>
        <v>49156</v>
      </c>
      <c r="V189" s="24">
        <f>SUMIFS(Expense_Tracker_Table[Amount Spent],Expense_Tracker_Table[Expense Date],"&gt;="&amp;T189,Expense_Tracker_Table[Expense Date],"&lt;="&amp;U189)</f>
        <v>0</v>
      </c>
    </row>
    <row r="190" spans="20:22" x14ac:dyDescent="0.3">
      <c r="T190" s="25">
        <v>49157</v>
      </c>
      <c r="U190" s="25">
        <f t="shared" si="3"/>
        <v>49187</v>
      </c>
      <c r="V190" s="24">
        <f>SUMIFS(Expense_Tracker_Table[Amount Spent],Expense_Tracker_Table[Expense Date],"&gt;="&amp;T190,Expense_Tracker_Table[Expense Date],"&lt;="&amp;U190)</f>
        <v>0</v>
      </c>
    </row>
    <row r="191" spans="20:22" x14ac:dyDescent="0.3">
      <c r="T191" s="25">
        <v>49188</v>
      </c>
      <c r="U191" s="25">
        <f t="shared" si="3"/>
        <v>49217</v>
      </c>
      <c r="V191" s="24">
        <f>SUMIFS(Expense_Tracker_Table[Amount Spent],Expense_Tracker_Table[Expense Date],"&gt;="&amp;T191,Expense_Tracker_Table[Expense Date],"&lt;="&amp;U191)</f>
        <v>0</v>
      </c>
    </row>
    <row r="192" spans="20:22" x14ac:dyDescent="0.3">
      <c r="T192" s="25">
        <v>49218</v>
      </c>
      <c r="U192" s="25">
        <f t="shared" si="3"/>
        <v>49248</v>
      </c>
      <c r="V192" s="24">
        <f>SUMIFS(Expense_Tracker_Table[Amount Spent],Expense_Tracker_Table[Expense Date],"&gt;="&amp;T192,Expense_Tracker_Table[Expense Date],"&lt;="&amp;U192)</f>
        <v>0</v>
      </c>
    </row>
    <row r="193" spans="20:22" x14ac:dyDescent="0.3">
      <c r="T193" s="25">
        <v>49249</v>
      </c>
      <c r="U193" s="25">
        <f t="shared" si="3"/>
        <v>49278</v>
      </c>
      <c r="V193" s="24">
        <f>SUMIFS(Expense_Tracker_Table[Amount Spent],Expense_Tracker_Table[Expense Date],"&gt;="&amp;T193,Expense_Tracker_Table[Expense Date],"&lt;="&amp;U193)</f>
        <v>0</v>
      </c>
    </row>
    <row r="194" spans="20:22" x14ac:dyDescent="0.3">
      <c r="T194" s="25">
        <v>49279</v>
      </c>
      <c r="U194" s="25">
        <f t="shared" si="3"/>
        <v>49309</v>
      </c>
      <c r="V194" s="24">
        <f>SUMIFS(Expense_Tracker_Table[Amount Spent],Expense_Tracker_Table[Expense Date],"&gt;="&amp;T194,Expense_Tracker_Table[Expense Date],"&lt;="&amp;U194)</f>
        <v>0</v>
      </c>
    </row>
    <row r="195" spans="20:22" x14ac:dyDescent="0.3">
      <c r="T195" s="25">
        <v>49310</v>
      </c>
      <c r="U195" s="25">
        <f t="shared" si="3"/>
        <v>49340</v>
      </c>
      <c r="V195" s="24">
        <f>SUMIFS(Expense_Tracker_Table[Amount Spent],Expense_Tracker_Table[Expense Date],"&gt;="&amp;T195,Expense_Tracker_Table[Expense Date],"&lt;="&amp;U195)</f>
        <v>0</v>
      </c>
    </row>
    <row r="196" spans="20:22" x14ac:dyDescent="0.3">
      <c r="T196" s="25">
        <v>49341</v>
      </c>
      <c r="U196" s="25">
        <f t="shared" si="3"/>
        <v>49368</v>
      </c>
      <c r="V196" s="24">
        <f>SUMIFS(Expense_Tracker_Table[Amount Spent],Expense_Tracker_Table[Expense Date],"&gt;="&amp;T196,Expense_Tracker_Table[Expense Date],"&lt;="&amp;U196)</f>
        <v>0</v>
      </c>
    </row>
    <row r="197" spans="20:22" x14ac:dyDescent="0.3">
      <c r="T197" s="25">
        <v>49369</v>
      </c>
      <c r="U197" s="25">
        <f t="shared" si="3"/>
        <v>49399</v>
      </c>
      <c r="V197" s="24">
        <f>SUMIFS(Expense_Tracker_Table[Amount Spent],Expense_Tracker_Table[Expense Date],"&gt;="&amp;T197,Expense_Tracker_Table[Expense Date],"&lt;="&amp;U197)</f>
        <v>0</v>
      </c>
    </row>
    <row r="198" spans="20:22" x14ac:dyDescent="0.3">
      <c r="T198" s="25">
        <v>49400</v>
      </c>
      <c r="U198" s="25">
        <f t="shared" si="3"/>
        <v>49429</v>
      </c>
      <c r="V198" s="24">
        <f>SUMIFS(Expense_Tracker_Table[Amount Spent],Expense_Tracker_Table[Expense Date],"&gt;="&amp;T198,Expense_Tracker_Table[Expense Date],"&lt;="&amp;U198)</f>
        <v>0</v>
      </c>
    </row>
    <row r="199" spans="20:22" x14ac:dyDescent="0.3">
      <c r="T199" s="25">
        <v>49430</v>
      </c>
      <c r="U199" s="25">
        <f t="shared" si="3"/>
        <v>49460</v>
      </c>
      <c r="V199" s="24">
        <f>SUMIFS(Expense_Tracker_Table[Amount Spent],Expense_Tracker_Table[Expense Date],"&gt;="&amp;T199,Expense_Tracker_Table[Expense Date],"&lt;="&amp;U199)</f>
        <v>0</v>
      </c>
    </row>
    <row r="200" spans="20:22" x14ac:dyDescent="0.3">
      <c r="T200" s="25">
        <v>49461</v>
      </c>
      <c r="U200" s="25">
        <f t="shared" si="3"/>
        <v>49490</v>
      </c>
      <c r="V200" s="24">
        <f>SUMIFS(Expense_Tracker_Table[Amount Spent],Expense_Tracker_Table[Expense Date],"&gt;="&amp;T200,Expense_Tracker_Table[Expense Date],"&lt;="&amp;U200)</f>
        <v>0</v>
      </c>
    </row>
    <row r="201" spans="20:22" x14ac:dyDescent="0.3">
      <c r="T201" s="25">
        <v>49491</v>
      </c>
      <c r="U201" s="25">
        <f t="shared" ref="U201:U264" si="4">EOMONTH(T201,0)</f>
        <v>49521</v>
      </c>
      <c r="V201" s="24">
        <f>SUMIFS(Expense_Tracker_Table[Amount Spent],Expense_Tracker_Table[Expense Date],"&gt;="&amp;T201,Expense_Tracker_Table[Expense Date],"&lt;="&amp;U201)</f>
        <v>0</v>
      </c>
    </row>
    <row r="202" spans="20:22" x14ac:dyDescent="0.3">
      <c r="T202" s="25">
        <v>49522</v>
      </c>
      <c r="U202" s="25">
        <f t="shared" si="4"/>
        <v>49552</v>
      </c>
      <c r="V202" s="24">
        <f>SUMIFS(Expense_Tracker_Table[Amount Spent],Expense_Tracker_Table[Expense Date],"&gt;="&amp;T202,Expense_Tracker_Table[Expense Date],"&lt;="&amp;U202)</f>
        <v>0</v>
      </c>
    </row>
    <row r="203" spans="20:22" x14ac:dyDescent="0.3">
      <c r="T203" s="25">
        <v>49553</v>
      </c>
      <c r="U203" s="25">
        <f t="shared" si="4"/>
        <v>49582</v>
      </c>
      <c r="V203" s="24">
        <f>SUMIFS(Expense_Tracker_Table[Amount Spent],Expense_Tracker_Table[Expense Date],"&gt;="&amp;T203,Expense_Tracker_Table[Expense Date],"&lt;="&amp;U203)</f>
        <v>0</v>
      </c>
    </row>
    <row r="204" spans="20:22" x14ac:dyDescent="0.3">
      <c r="T204" s="25">
        <v>49583</v>
      </c>
      <c r="U204" s="25">
        <f t="shared" si="4"/>
        <v>49613</v>
      </c>
      <c r="V204" s="24">
        <f>SUMIFS(Expense_Tracker_Table[Amount Spent],Expense_Tracker_Table[Expense Date],"&gt;="&amp;T204,Expense_Tracker_Table[Expense Date],"&lt;="&amp;U204)</f>
        <v>0</v>
      </c>
    </row>
    <row r="205" spans="20:22" x14ac:dyDescent="0.3">
      <c r="T205" s="25">
        <v>49614</v>
      </c>
      <c r="U205" s="25">
        <f t="shared" si="4"/>
        <v>49643</v>
      </c>
      <c r="V205" s="24">
        <f>SUMIFS(Expense_Tracker_Table[Amount Spent],Expense_Tracker_Table[Expense Date],"&gt;="&amp;T205,Expense_Tracker_Table[Expense Date],"&lt;="&amp;U205)</f>
        <v>0</v>
      </c>
    </row>
    <row r="206" spans="20:22" x14ac:dyDescent="0.3">
      <c r="T206" s="25">
        <v>49644</v>
      </c>
      <c r="U206" s="25">
        <f t="shared" si="4"/>
        <v>49674</v>
      </c>
      <c r="V206" s="24">
        <f>SUMIFS(Expense_Tracker_Table[Amount Spent],Expense_Tracker_Table[Expense Date],"&gt;="&amp;T206,Expense_Tracker_Table[Expense Date],"&lt;="&amp;U206)</f>
        <v>0</v>
      </c>
    </row>
    <row r="207" spans="20:22" x14ac:dyDescent="0.3">
      <c r="T207" s="25">
        <v>49675</v>
      </c>
      <c r="U207" s="25">
        <f t="shared" si="4"/>
        <v>49705</v>
      </c>
      <c r="V207" s="24">
        <f>SUMIFS(Expense_Tracker_Table[Amount Spent],Expense_Tracker_Table[Expense Date],"&gt;="&amp;T207,Expense_Tracker_Table[Expense Date],"&lt;="&amp;U207)</f>
        <v>0</v>
      </c>
    </row>
    <row r="208" spans="20:22" x14ac:dyDescent="0.3">
      <c r="T208" s="25">
        <v>49706</v>
      </c>
      <c r="U208" s="25">
        <f t="shared" si="4"/>
        <v>49734</v>
      </c>
      <c r="V208" s="24">
        <f>SUMIFS(Expense_Tracker_Table[Amount Spent],Expense_Tracker_Table[Expense Date],"&gt;="&amp;T208,Expense_Tracker_Table[Expense Date],"&lt;="&amp;U208)</f>
        <v>0</v>
      </c>
    </row>
    <row r="209" spans="20:22" x14ac:dyDescent="0.3">
      <c r="T209" s="25">
        <v>49735</v>
      </c>
      <c r="U209" s="25">
        <f t="shared" si="4"/>
        <v>49765</v>
      </c>
      <c r="V209" s="24">
        <f>SUMIFS(Expense_Tracker_Table[Amount Spent],Expense_Tracker_Table[Expense Date],"&gt;="&amp;T209,Expense_Tracker_Table[Expense Date],"&lt;="&amp;U209)</f>
        <v>0</v>
      </c>
    </row>
    <row r="210" spans="20:22" x14ac:dyDescent="0.3">
      <c r="T210" s="25">
        <v>49766</v>
      </c>
      <c r="U210" s="25">
        <f t="shared" si="4"/>
        <v>49795</v>
      </c>
      <c r="V210" s="24">
        <f>SUMIFS(Expense_Tracker_Table[Amount Spent],Expense_Tracker_Table[Expense Date],"&gt;="&amp;T210,Expense_Tracker_Table[Expense Date],"&lt;="&amp;U210)</f>
        <v>0</v>
      </c>
    </row>
    <row r="211" spans="20:22" x14ac:dyDescent="0.3">
      <c r="T211" s="25">
        <v>49796</v>
      </c>
      <c r="U211" s="25">
        <f t="shared" si="4"/>
        <v>49826</v>
      </c>
      <c r="V211" s="24">
        <f>SUMIFS(Expense_Tracker_Table[Amount Spent],Expense_Tracker_Table[Expense Date],"&gt;="&amp;T211,Expense_Tracker_Table[Expense Date],"&lt;="&amp;U211)</f>
        <v>0</v>
      </c>
    </row>
    <row r="212" spans="20:22" x14ac:dyDescent="0.3">
      <c r="T212" s="25">
        <v>49827</v>
      </c>
      <c r="U212" s="25">
        <f t="shared" si="4"/>
        <v>49856</v>
      </c>
      <c r="V212" s="24">
        <f>SUMIFS(Expense_Tracker_Table[Amount Spent],Expense_Tracker_Table[Expense Date],"&gt;="&amp;T212,Expense_Tracker_Table[Expense Date],"&lt;="&amp;U212)</f>
        <v>0</v>
      </c>
    </row>
    <row r="213" spans="20:22" x14ac:dyDescent="0.3">
      <c r="T213" s="25">
        <v>49857</v>
      </c>
      <c r="U213" s="25">
        <f t="shared" si="4"/>
        <v>49887</v>
      </c>
      <c r="V213" s="24">
        <f>SUMIFS(Expense_Tracker_Table[Amount Spent],Expense_Tracker_Table[Expense Date],"&gt;="&amp;T213,Expense_Tracker_Table[Expense Date],"&lt;="&amp;U213)</f>
        <v>0</v>
      </c>
    </row>
    <row r="214" spans="20:22" x14ac:dyDescent="0.3">
      <c r="T214" s="25">
        <v>49888</v>
      </c>
      <c r="U214" s="25">
        <f t="shared" si="4"/>
        <v>49918</v>
      </c>
      <c r="V214" s="24">
        <f>SUMIFS(Expense_Tracker_Table[Amount Spent],Expense_Tracker_Table[Expense Date],"&gt;="&amp;T214,Expense_Tracker_Table[Expense Date],"&lt;="&amp;U214)</f>
        <v>0</v>
      </c>
    </row>
    <row r="215" spans="20:22" x14ac:dyDescent="0.3">
      <c r="T215" s="25">
        <v>49919</v>
      </c>
      <c r="U215" s="25">
        <f t="shared" si="4"/>
        <v>49948</v>
      </c>
      <c r="V215" s="24">
        <f>SUMIFS(Expense_Tracker_Table[Amount Spent],Expense_Tracker_Table[Expense Date],"&gt;="&amp;T215,Expense_Tracker_Table[Expense Date],"&lt;="&amp;U215)</f>
        <v>0</v>
      </c>
    </row>
    <row r="216" spans="20:22" x14ac:dyDescent="0.3">
      <c r="T216" s="25">
        <v>49949</v>
      </c>
      <c r="U216" s="25">
        <f t="shared" si="4"/>
        <v>49979</v>
      </c>
      <c r="V216" s="24">
        <f>SUMIFS(Expense_Tracker_Table[Amount Spent],Expense_Tracker_Table[Expense Date],"&gt;="&amp;T216,Expense_Tracker_Table[Expense Date],"&lt;="&amp;U216)</f>
        <v>0</v>
      </c>
    </row>
    <row r="217" spans="20:22" x14ac:dyDescent="0.3">
      <c r="T217" s="25">
        <v>49980</v>
      </c>
      <c r="U217" s="25">
        <f t="shared" si="4"/>
        <v>50009</v>
      </c>
      <c r="V217" s="24">
        <f>SUMIFS(Expense_Tracker_Table[Amount Spent],Expense_Tracker_Table[Expense Date],"&gt;="&amp;T217,Expense_Tracker_Table[Expense Date],"&lt;="&amp;U217)</f>
        <v>0</v>
      </c>
    </row>
    <row r="218" spans="20:22" x14ac:dyDescent="0.3">
      <c r="T218" s="25">
        <v>50010</v>
      </c>
      <c r="U218" s="25">
        <f t="shared" si="4"/>
        <v>50040</v>
      </c>
      <c r="V218" s="24">
        <f>SUMIFS(Expense_Tracker_Table[Amount Spent],Expense_Tracker_Table[Expense Date],"&gt;="&amp;T218,Expense_Tracker_Table[Expense Date],"&lt;="&amp;U218)</f>
        <v>0</v>
      </c>
    </row>
    <row r="219" spans="20:22" x14ac:dyDescent="0.3">
      <c r="T219" s="25">
        <v>50041</v>
      </c>
      <c r="U219" s="25">
        <f t="shared" si="4"/>
        <v>50071</v>
      </c>
      <c r="V219" s="24">
        <f>SUMIFS(Expense_Tracker_Table[Amount Spent],Expense_Tracker_Table[Expense Date],"&gt;="&amp;T219,Expense_Tracker_Table[Expense Date],"&lt;="&amp;U219)</f>
        <v>0</v>
      </c>
    </row>
    <row r="220" spans="20:22" x14ac:dyDescent="0.3">
      <c r="T220" s="25">
        <v>50072</v>
      </c>
      <c r="U220" s="25">
        <f t="shared" si="4"/>
        <v>50099</v>
      </c>
      <c r="V220" s="24">
        <f>SUMIFS(Expense_Tracker_Table[Amount Spent],Expense_Tracker_Table[Expense Date],"&gt;="&amp;T220,Expense_Tracker_Table[Expense Date],"&lt;="&amp;U220)</f>
        <v>0</v>
      </c>
    </row>
    <row r="221" spans="20:22" x14ac:dyDescent="0.3">
      <c r="T221" s="25">
        <v>50100</v>
      </c>
      <c r="U221" s="25">
        <f t="shared" si="4"/>
        <v>50130</v>
      </c>
      <c r="V221" s="24">
        <f>SUMIFS(Expense_Tracker_Table[Amount Spent],Expense_Tracker_Table[Expense Date],"&gt;="&amp;T221,Expense_Tracker_Table[Expense Date],"&lt;="&amp;U221)</f>
        <v>0</v>
      </c>
    </row>
    <row r="222" spans="20:22" x14ac:dyDescent="0.3">
      <c r="T222" s="25">
        <v>50131</v>
      </c>
      <c r="U222" s="25">
        <f t="shared" si="4"/>
        <v>50160</v>
      </c>
      <c r="V222" s="24">
        <f>SUMIFS(Expense_Tracker_Table[Amount Spent],Expense_Tracker_Table[Expense Date],"&gt;="&amp;T222,Expense_Tracker_Table[Expense Date],"&lt;="&amp;U222)</f>
        <v>0</v>
      </c>
    </row>
    <row r="223" spans="20:22" x14ac:dyDescent="0.3">
      <c r="T223" s="25">
        <v>50161</v>
      </c>
      <c r="U223" s="25">
        <f t="shared" si="4"/>
        <v>50191</v>
      </c>
      <c r="V223" s="24">
        <f>SUMIFS(Expense_Tracker_Table[Amount Spent],Expense_Tracker_Table[Expense Date],"&gt;="&amp;T223,Expense_Tracker_Table[Expense Date],"&lt;="&amp;U223)</f>
        <v>0</v>
      </c>
    </row>
    <row r="224" spans="20:22" x14ac:dyDescent="0.3">
      <c r="T224" s="25">
        <v>50192</v>
      </c>
      <c r="U224" s="25">
        <f t="shared" si="4"/>
        <v>50221</v>
      </c>
      <c r="V224" s="24">
        <f>SUMIFS(Expense_Tracker_Table[Amount Spent],Expense_Tracker_Table[Expense Date],"&gt;="&amp;T224,Expense_Tracker_Table[Expense Date],"&lt;="&amp;U224)</f>
        <v>0</v>
      </c>
    </row>
    <row r="225" spans="20:22" x14ac:dyDescent="0.3">
      <c r="T225" s="25">
        <v>50222</v>
      </c>
      <c r="U225" s="25">
        <f t="shared" si="4"/>
        <v>50252</v>
      </c>
      <c r="V225" s="24">
        <f>SUMIFS(Expense_Tracker_Table[Amount Spent],Expense_Tracker_Table[Expense Date],"&gt;="&amp;T225,Expense_Tracker_Table[Expense Date],"&lt;="&amp;U225)</f>
        <v>0</v>
      </c>
    </row>
    <row r="226" spans="20:22" x14ac:dyDescent="0.3">
      <c r="T226" s="25">
        <v>50253</v>
      </c>
      <c r="U226" s="25">
        <f t="shared" si="4"/>
        <v>50283</v>
      </c>
      <c r="V226" s="24">
        <f>SUMIFS(Expense_Tracker_Table[Amount Spent],Expense_Tracker_Table[Expense Date],"&gt;="&amp;T226,Expense_Tracker_Table[Expense Date],"&lt;="&amp;U226)</f>
        <v>0</v>
      </c>
    </row>
    <row r="227" spans="20:22" x14ac:dyDescent="0.3">
      <c r="T227" s="25">
        <v>50284</v>
      </c>
      <c r="U227" s="25">
        <f t="shared" si="4"/>
        <v>50313</v>
      </c>
      <c r="V227" s="24">
        <f>SUMIFS(Expense_Tracker_Table[Amount Spent],Expense_Tracker_Table[Expense Date],"&gt;="&amp;T227,Expense_Tracker_Table[Expense Date],"&lt;="&amp;U227)</f>
        <v>0</v>
      </c>
    </row>
    <row r="228" spans="20:22" x14ac:dyDescent="0.3">
      <c r="T228" s="25">
        <v>50314</v>
      </c>
      <c r="U228" s="25">
        <f t="shared" si="4"/>
        <v>50344</v>
      </c>
      <c r="V228" s="24">
        <f>SUMIFS(Expense_Tracker_Table[Amount Spent],Expense_Tracker_Table[Expense Date],"&gt;="&amp;T228,Expense_Tracker_Table[Expense Date],"&lt;="&amp;U228)</f>
        <v>0</v>
      </c>
    </row>
    <row r="229" spans="20:22" x14ac:dyDescent="0.3">
      <c r="T229" s="25">
        <v>50345</v>
      </c>
      <c r="U229" s="25">
        <f t="shared" si="4"/>
        <v>50374</v>
      </c>
      <c r="V229" s="24">
        <f>SUMIFS(Expense_Tracker_Table[Amount Spent],Expense_Tracker_Table[Expense Date],"&gt;="&amp;T229,Expense_Tracker_Table[Expense Date],"&lt;="&amp;U229)</f>
        <v>0</v>
      </c>
    </row>
    <row r="230" spans="20:22" x14ac:dyDescent="0.3">
      <c r="T230" s="25">
        <v>50375</v>
      </c>
      <c r="U230" s="25">
        <f t="shared" si="4"/>
        <v>50405</v>
      </c>
      <c r="V230" s="24">
        <f>SUMIFS(Expense_Tracker_Table[Amount Spent],Expense_Tracker_Table[Expense Date],"&gt;="&amp;T230,Expense_Tracker_Table[Expense Date],"&lt;="&amp;U230)</f>
        <v>0</v>
      </c>
    </row>
    <row r="231" spans="20:22" x14ac:dyDescent="0.3">
      <c r="T231" s="25">
        <v>50406</v>
      </c>
      <c r="U231" s="25">
        <f t="shared" si="4"/>
        <v>50436</v>
      </c>
      <c r="V231" s="24">
        <f>SUMIFS(Expense_Tracker_Table[Amount Spent],Expense_Tracker_Table[Expense Date],"&gt;="&amp;T231,Expense_Tracker_Table[Expense Date],"&lt;="&amp;U231)</f>
        <v>0</v>
      </c>
    </row>
    <row r="232" spans="20:22" x14ac:dyDescent="0.3">
      <c r="T232" s="25">
        <v>50437</v>
      </c>
      <c r="U232" s="25">
        <f t="shared" si="4"/>
        <v>50464</v>
      </c>
      <c r="V232" s="24">
        <f>SUMIFS(Expense_Tracker_Table[Amount Spent],Expense_Tracker_Table[Expense Date],"&gt;="&amp;T232,Expense_Tracker_Table[Expense Date],"&lt;="&amp;U232)</f>
        <v>0</v>
      </c>
    </row>
    <row r="233" spans="20:22" x14ac:dyDescent="0.3">
      <c r="T233" s="25">
        <v>50465</v>
      </c>
      <c r="U233" s="25">
        <f t="shared" si="4"/>
        <v>50495</v>
      </c>
      <c r="V233" s="24">
        <f>SUMIFS(Expense_Tracker_Table[Amount Spent],Expense_Tracker_Table[Expense Date],"&gt;="&amp;T233,Expense_Tracker_Table[Expense Date],"&lt;="&amp;U233)</f>
        <v>0</v>
      </c>
    </row>
    <row r="234" spans="20:22" x14ac:dyDescent="0.3">
      <c r="T234" s="25">
        <v>50496</v>
      </c>
      <c r="U234" s="25">
        <f t="shared" si="4"/>
        <v>50525</v>
      </c>
      <c r="V234" s="24">
        <f>SUMIFS(Expense_Tracker_Table[Amount Spent],Expense_Tracker_Table[Expense Date],"&gt;="&amp;T234,Expense_Tracker_Table[Expense Date],"&lt;="&amp;U234)</f>
        <v>0</v>
      </c>
    </row>
    <row r="235" spans="20:22" x14ac:dyDescent="0.3">
      <c r="T235" s="25">
        <v>50526</v>
      </c>
      <c r="U235" s="25">
        <f t="shared" si="4"/>
        <v>50556</v>
      </c>
      <c r="V235" s="24">
        <f>SUMIFS(Expense_Tracker_Table[Amount Spent],Expense_Tracker_Table[Expense Date],"&gt;="&amp;T235,Expense_Tracker_Table[Expense Date],"&lt;="&amp;U235)</f>
        <v>0</v>
      </c>
    </row>
    <row r="236" spans="20:22" x14ac:dyDescent="0.3">
      <c r="T236" s="25">
        <v>50557</v>
      </c>
      <c r="U236" s="25">
        <f t="shared" si="4"/>
        <v>50586</v>
      </c>
      <c r="V236" s="24">
        <f>SUMIFS(Expense_Tracker_Table[Amount Spent],Expense_Tracker_Table[Expense Date],"&gt;="&amp;T236,Expense_Tracker_Table[Expense Date],"&lt;="&amp;U236)</f>
        <v>0</v>
      </c>
    </row>
    <row r="237" spans="20:22" x14ac:dyDescent="0.3">
      <c r="T237" s="25">
        <v>50587</v>
      </c>
      <c r="U237" s="25">
        <f t="shared" si="4"/>
        <v>50617</v>
      </c>
      <c r="V237" s="24">
        <f>SUMIFS(Expense_Tracker_Table[Amount Spent],Expense_Tracker_Table[Expense Date],"&gt;="&amp;T237,Expense_Tracker_Table[Expense Date],"&lt;="&amp;U237)</f>
        <v>0</v>
      </c>
    </row>
    <row r="238" spans="20:22" x14ac:dyDescent="0.3">
      <c r="T238" s="25">
        <v>50618</v>
      </c>
      <c r="U238" s="25">
        <f t="shared" si="4"/>
        <v>50648</v>
      </c>
      <c r="V238" s="24">
        <f>SUMIFS(Expense_Tracker_Table[Amount Spent],Expense_Tracker_Table[Expense Date],"&gt;="&amp;T238,Expense_Tracker_Table[Expense Date],"&lt;="&amp;U238)</f>
        <v>0</v>
      </c>
    </row>
    <row r="239" spans="20:22" x14ac:dyDescent="0.3">
      <c r="T239" s="25">
        <v>50649</v>
      </c>
      <c r="U239" s="25">
        <f t="shared" si="4"/>
        <v>50678</v>
      </c>
      <c r="V239" s="24">
        <f>SUMIFS(Expense_Tracker_Table[Amount Spent],Expense_Tracker_Table[Expense Date],"&gt;="&amp;T239,Expense_Tracker_Table[Expense Date],"&lt;="&amp;U239)</f>
        <v>0</v>
      </c>
    </row>
    <row r="240" spans="20:22" x14ac:dyDescent="0.3">
      <c r="T240" s="25">
        <v>50679</v>
      </c>
      <c r="U240" s="25">
        <f t="shared" si="4"/>
        <v>50709</v>
      </c>
      <c r="V240" s="24">
        <f>SUMIFS(Expense_Tracker_Table[Amount Spent],Expense_Tracker_Table[Expense Date],"&gt;="&amp;T240,Expense_Tracker_Table[Expense Date],"&lt;="&amp;U240)</f>
        <v>0</v>
      </c>
    </row>
    <row r="241" spans="20:22" x14ac:dyDescent="0.3">
      <c r="T241" s="25">
        <v>50710</v>
      </c>
      <c r="U241" s="25">
        <f t="shared" si="4"/>
        <v>50739</v>
      </c>
      <c r="V241" s="24">
        <f>SUMIFS(Expense_Tracker_Table[Amount Spent],Expense_Tracker_Table[Expense Date],"&gt;="&amp;T241,Expense_Tracker_Table[Expense Date],"&lt;="&amp;U241)</f>
        <v>0</v>
      </c>
    </row>
    <row r="242" spans="20:22" x14ac:dyDescent="0.3">
      <c r="T242" s="25">
        <v>50740</v>
      </c>
      <c r="U242" s="25">
        <f t="shared" si="4"/>
        <v>50770</v>
      </c>
      <c r="V242" s="24">
        <f>SUMIFS(Expense_Tracker_Table[Amount Spent],Expense_Tracker_Table[Expense Date],"&gt;="&amp;T242,Expense_Tracker_Table[Expense Date],"&lt;="&amp;U242)</f>
        <v>0</v>
      </c>
    </row>
    <row r="243" spans="20:22" x14ac:dyDescent="0.3">
      <c r="T243" s="25">
        <v>50771</v>
      </c>
      <c r="U243" s="25">
        <f t="shared" si="4"/>
        <v>50801</v>
      </c>
      <c r="V243" s="24">
        <f>SUMIFS(Expense_Tracker_Table[Amount Spent],Expense_Tracker_Table[Expense Date],"&gt;="&amp;T243,Expense_Tracker_Table[Expense Date],"&lt;="&amp;U243)</f>
        <v>0</v>
      </c>
    </row>
    <row r="244" spans="20:22" x14ac:dyDescent="0.3">
      <c r="T244" s="25">
        <v>50802</v>
      </c>
      <c r="U244" s="25">
        <f t="shared" si="4"/>
        <v>50829</v>
      </c>
      <c r="V244" s="24">
        <f>SUMIFS(Expense_Tracker_Table[Amount Spent],Expense_Tracker_Table[Expense Date],"&gt;="&amp;T244,Expense_Tracker_Table[Expense Date],"&lt;="&amp;U244)</f>
        <v>0</v>
      </c>
    </row>
    <row r="245" spans="20:22" x14ac:dyDescent="0.3">
      <c r="T245" s="25">
        <v>50830</v>
      </c>
      <c r="U245" s="25">
        <f t="shared" si="4"/>
        <v>50860</v>
      </c>
      <c r="V245" s="24">
        <f>SUMIFS(Expense_Tracker_Table[Amount Spent],Expense_Tracker_Table[Expense Date],"&gt;="&amp;T245,Expense_Tracker_Table[Expense Date],"&lt;="&amp;U245)</f>
        <v>0</v>
      </c>
    </row>
    <row r="246" spans="20:22" x14ac:dyDescent="0.3">
      <c r="T246" s="25">
        <v>50861</v>
      </c>
      <c r="U246" s="25">
        <f t="shared" si="4"/>
        <v>50890</v>
      </c>
      <c r="V246" s="24">
        <f>SUMIFS(Expense_Tracker_Table[Amount Spent],Expense_Tracker_Table[Expense Date],"&gt;="&amp;T246,Expense_Tracker_Table[Expense Date],"&lt;="&amp;U246)</f>
        <v>0</v>
      </c>
    </row>
    <row r="247" spans="20:22" x14ac:dyDescent="0.3">
      <c r="T247" s="25">
        <v>50891</v>
      </c>
      <c r="U247" s="25">
        <f t="shared" si="4"/>
        <v>50921</v>
      </c>
      <c r="V247" s="24">
        <f>SUMIFS(Expense_Tracker_Table[Amount Spent],Expense_Tracker_Table[Expense Date],"&gt;="&amp;T247,Expense_Tracker_Table[Expense Date],"&lt;="&amp;U247)</f>
        <v>0</v>
      </c>
    </row>
    <row r="248" spans="20:22" x14ac:dyDescent="0.3">
      <c r="T248" s="25">
        <v>50922</v>
      </c>
      <c r="U248" s="25">
        <f t="shared" si="4"/>
        <v>50951</v>
      </c>
      <c r="V248" s="24">
        <f>SUMIFS(Expense_Tracker_Table[Amount Spent],Expense_Tracker_Table[Expense Date],"&gt;="&amp;T248,Expense_Tracker_Table[Expense Date],"&lt;="&amp;U248)</f>
        <v>0</v>
      </c>
    </row>
    <row r="249" spans="20:22" x14ac:dyDescent="0.3">
      <c r="T249" s="25">
        <v>50952</v>
      </c>
      <c r="U249" s="25">
        <f t="shared" si="4"/>
        <v>50982</v>
      </c>
      <c r="V249" s="24">
        <f>SUMIFS(Expense_Tracker_Table[Amount Spent],Expense_Tracker_Table[Expense Date],"&gt;="&amp;T249,Expense_Tracker_Table[Expense Date],"&lt;="&amp;U249)</f>
        <v>0</v>
      </c>
    </row>
    <row r="250" spans="20:22" x14ac:dyDescent="0.3">
      <c r="T250" s="25">
        <v>50983</v>
      </c>
      <c r="U250" s="25">
        <f t="shared" si="4"/>
        <v>51013</v>
      </c>
      <c r="V250" s="24">
        <f>SUMIFS(Expense_Tracker_Table[Amount Spent],Expense_Tracker_Table[Expense Date],"&gt;="&amp;T250,Expense_Tracker_Table[Expense Date],"&lt;="&amp;U250)</f>
        <v>0</v>
      </c>
    </row>
    <row r="251" spans="20:22" x14ac:dyDescent="0.3">
      <c r="T251" s="25">
        <v>51014</v>
      </c>
      <c r="U251" s="25">
        <f t="shared" si="4"/>
        <v>51043</v>
      </c>
      <c r="V251" s="24">
        <f>SUMIFS(Expense_Tracker_Table[Amount Spent],Expense_Tracker_Table[Expense Date],"&gt;="&amp;T251,Expense_Tracker_Table[Expense Date],"&lt;="&amp;U251)</f>
        <v>0</v>
      </c>
    </row>
    <row r="252" spans="20:22" x14ac:dyDescent="0.3">
      <c r="T252" s="25">
        <v>51044</v>
      </c>
      <c r="U252" s="25">
        <f t="shared" si="4"/>
        <v>51074</v>
      </c>
      <c r="V252" s="24">
        <f>SUMIFS(Expense_Tracker_Table[Amount Spent],Expense_Tracker_Table[Expense Date],"&gt;="&amp;T252,Expense_Tracker_Table[Expense Date],"&lt;="&amp;U252)</f>
        <v>0</v>
      </c>
    </row>
    <row r="253" spans="20:22" x14ac:dyDescent="0.3">
      <c r="T253" s="25">
        <v>51075</v>
      </c>
      <c r="U253" s="25">
        <f t="shared" si="4"/>
        <v>51104</v>
      </c>
      <c r="V253" s="24">
        <f>SUMIFS(Expense_Tracker_Table[Amount Spent],Expense_Tracker_Table[Expense Date],"&gt;="&amp;T253,Expense_Tracker_Table[Expense Date],"&lt;="&amp;U253)</f>
        <v>0</v>
      </c>
    </row>
    <row r="254" spans="20:22" x14ac:dyDescent="0.3">
      <c r="T254" s="25">
        <v>51105</v>
      </c>
      <c r="U254" s="25">
        <f t="shared" si="4"/>
        <v>51135</v>
      </c>
      <c r="V254" s="24">
        <f>SUMIFS(Expense_Tracker_Table[Amount Spent],Expense_Tracker_Table[Expense Date],"&gt;="&amp;T254,Expense_Tracker_Table[Expense Date],"&lt;="&amp;U254)</f>
        <v>0</v>
      </c>
    </row>
    <row r="255" spans="20:22" x14ac:dyDescent="0.3">
      <c r="T255" s="25">
        <v>51136</v>
      </c>
      <c r="U255" s="25">
        <f t="shared" si="4"/>
        <v>51166</v>
      </c>
      <c r="V255" s="24">
        <f>SUMIFS(Expense_Tracker_Table[Amount Spent],Expense_Tracker_Table[Expense Date],"&gt;="&amp;T255,Expense_Tracker_Table[Expense Date],"&lt;="&amp;U255)</f>
        <v>0</v>
      </c>
    </row>
    <row r="256" spans="20:22" x14ac:dyDescent="0.3">
      <c r="T256" s="25">
        <v>51167</v>
      </c>
      <c r="U256" s="25">
        <f t="shared" si="4"/>
        <v>51195</v>
      </c>
      <c r="V256" s="24">
        <f>SUMIFS(Expense_Tracker_Table[Amount Spent],Expense_Tracker_Table[Expense Date],"&gt;="&amp;T256,Expense_Tracker_Table[Expense Date],"&lt;="&amp;U256)</f>
        <v>0</v>
      </c>
    </row>
    <row r="257" spans="20:22" x14ac:dyDescent="0.3">
      <c r="T257" s="25">
        <v>51196</v>
      </c>
      <c r="U257" s="25">
        <f t="shared" si="4"/>
        <v>51226</v>
      </c>
      <c r="V257" s="24">
        <f>SUMIFS(Expense_Tracker_Table[Amount Spent],Expense_Tracker_Table[Expense Date],"&gt;="&amp;T257,Expense_Tracker_Table[Expense Date],"&lt;="&amp;U257)</f>
        <v>0</v>
      </c>
    </row>
    <row r="258" spans="20:22" x14ac:dyDescent="0.3">
      <c r="T258" s="25">
        <v>51227</v>
      </c>
      <c r="U258" s="25">
        <f t="shared" si="4"/>
        <v>51256</v>
      </c>
      <c r="V258" s="24">
        <f>SUMIFS(Expense_Tracker_Table[Amount Spent],Expense_Tracker_Table[Expense Date],"&gt;="&amp;T258,Expense_Tracker_Table[Expense Date],"&lt;="&amp;U258)</f>
        <v>0</v>
      </c>
    </row>
    <row r="259" spans="20:22" x14ac:dyDescent="0.3">
      <c r="T259" s="25">
        <v>51257</v>
      </c>
      <c r="U259" s="25">
        <f t="shared" si="4"/>
        <v>51287</v>
      </c>
      <c r="V259" s="24">
        <f>SUMIFS(Expense_Tracker_Table[Amount Spent],Expense_Tracker_Table[Expense Date],"&gt;="&amp;T259,Expense_Tracker_Table[Expense Date],"&lt;="&amp;U259)</f>
        <v>0</v>
      </c>
    </row>
    <row r="260" spans="20:22" x14ac:dyDescent="0.3">
      <c r="T260" s="25">
        <v>51288</v>
      </c>
      <c r="U260" s="25">
        <f t="shared" si="4"/>
        <v>51317</v>
      </c>
      <c r="V260" s="24">
        <f>SUMIFS(Expense_Tracker_Table[Amount Spent],Expense_Tracker_Table[Expense Date],"&gt;="&amp;T260,Expense_Tracker_Table[Expense Date],"&lt;="&amp;U260)</f>
        <v>0</v>
      </c>
    </row>
    <row r="261" spans="20:22" x14ac:dyDescent="0.3">
      <c r="T261" s="25">
        <v>51318</v>
      </c>
      <c r="U261" s="25">
        <f t="shared" si="4"/>
        <v>51348</v>
      </c>
      <c r="V261" s="24">
        <f>SUMIFS(Expense_Tracker_Table[Amount Spent],Expense_Tracker_Table[Expense Date],"&gt;="&amp;T261,Expense_Tracker_Table[Expense Date],"&lt;="&amp;U261)</f>
        <v>0</v>
      </c>
    </row>
    <row r="262" spans="20:22" x14ac:dyDescent="0.3">
      <c r="T262" s="25">
        <v>51349</v>
      </c>
      <c r="U262" s="25">
        <f t="shared" si="4"/>
        <v>51379</v>
      </c>
      <c r="V262" s="24">
        <f>SUMIFS(Expense_Tracker_Table[Amount Spent],Expense_Tracker_Table[Expense Date],"&gt;="&amp;T262,Expense_Tracker_Table[Expense Date],"&lt;="&amp;U262)</f>
        <v>0</v>
      </c>
    </row>
    <row r="263" spans="20:22" x14ac:dyDescent="0.3">
      <c r="T263" s="25">
        <v>51380</v>
      </c>
      <c r="U263" s="25">
        <f t="shared" si="4"/>
        <v>51409</v>
      </c>
      <c r="V263" s="24">
        <f>SUMIFS(Expense_Tracker_Table[Amount Spent],Expense_Tracker_Table[Expense Date],"&gt;="&amp;T263,Expense_Tracker_Table[Expense Date],"&lt;="&amp;U263)</f>
        <v>0</v>
      </c>
    </row>
    <row r="264" spans="20:22" x14ac:dyDescent="0.3">
      <c r="T264" s="25">
        <v>51410</v>
      </c>
      <c r="U264" s="25">
        <f t="shared" si="4"/>
        <v>51440</v>
      </c>
      <c r="V264" s="24">
        <f>SUMIFS(Expense_Tracker_Table[Amount Spent],Expense_Tracker_Table[Expense Date],"&gt;="&amp;T264,Expense_Tracker_Table[Expense Date],"&lt;="&amp;U264)</f>
        <v>0</v>
      </c>
    </row>
    <row r="265" spans="20:22" x14ac:dyDescent="0.3">
      <c r="T265" s="25">
        <v>51441</v>
      </c>
      <c r="U265" s="25">
        <f t="shared" ref="U265:U328" si="5">EOMONTH(T265,0)</f>
        <v>51470</v>
      </c>
      <c r="V265" s="24">
        <f>SUMIFS(Expense_Tracker_Table[Amount Spent],Expense_Tracker_Table[Expense Date],"&gt;="&amp;T265,Expense_Tracker_Table[Expense Date],"&lt;="&amp;U265)</f>
        <v>0</v>
      </c>
    </row>
    <row r="266" spans="20:22" x14ac:dyDescent="0.3">
      <c r="T266" s="25">
        <v>51471</v>
      </c>
      <c r="U266" s="25">
        <f t="shared" si="5"/>
        <v>51501</v>
      </c>
      <c r="V266" s="24">
        <f>SUMIFS(Expense_Tracker_Table[Amount Spent],Expense_Tracker_Table[Expense Date],"&gt;="&amp;T266,Expense_Tracker_Table[Expense Date],"&lt;="&amp;U266)</f>
        <v>0</v>
      </c>
    </row>
    <row r="267" spans="20:22" x14ac:dyDescent="0.3">
      <c r="T267" s="25">
        <v>51502</v>
      </c>
      <c r="U267" s="25">
        <f t="shared" si="5"/>
        <v>51532</v>
      </c>
      <c r="V267" s="24">
        <f>SUMIFS(Expense_Tracker_Table[Amount Spent],Expense_Tracker_Table[Expense Date],"&gt;="&amp;T267,Expense_Tracker_Table[Expense Date],"&lt;="&amp;U267)</f>
        <v>0</v>
      </c>
    </row>
    <row r="268" spans="20:22" x14ac:dyDescent="0.3">
      <c r="T268" s="25">
        <v>51533</v>
      </c>
      <c r="U268" s="25">
        <f t="shared" si="5"/>
        <v>51560</v>
      </c>
      <c r="V268" s="24">
        <f>SUMIFS(Expense_Tracker_Table[Amount Spent],Expense_Tracker_Table[Expense Date],"&gt;="&amp;T268,Expense_Tracker_Table[Expense Date],"&lt;="&amp;U268)</f>
        <v>0</v>
      </c>
    </row>
    <row r="269" spans="20:22" x14ac:dyDescent="0.3">
      <c r="T269" s="25">
        <v>51561</v>
      </c>
      <c r="U269" s="25">
        <f t="shared" si="5"/>
        <v>51591</v>
      </c>
      <c r="V269" s="24">
        <f>SUMIFS(Expense_Tracker_Table[Amount Spent],Expense_Tracker_Table[Expense Date],"&gt;="&amp;T269,Expense_Tracker_Table[Expense Date],"&lt;="&amp;U269)</f>
        <v>0</v>
      </c>
    </row>
    <row r="270" spans="20:22" x14ac:dyDescent="0.3">
      <c r="T270" s="25">
        <v>51592</v>
      </c>
      <c r="U270" s="25">
        <f t="shared" si="5"/>
        <v>51621</v>
      </c>
      <c r="V270" s="24">
        <f>SUMIFS(Expense_Tracker_Table[Amount Spent],Expense_Tracker_Table[Expense Date],"&gt;="&amp;T270,Expense_Tracker_Table[Expense Date],"&lt;="&amp;U270)</f>
        <v>0</v>
      </c>
    </row>
    <row r="271" spans="20:22" x14ac:dyDescent="0.3">
      <c r="T271" s="25">
        <v>51622</v>
      </c>
      <c r="U271" s="25">
        <f t="shared" si="5"/>
        <v>51652</v>
      </c>
      <c r="V271" s="24">
        <f>SUMIFS(Expense_Tracker_Table[Amount Spent],Expense_Tracker_Table[Expense Date],"&gt;="&amp;T271,Expense_Tracker_Table[Expense Date],"&lt;="&amp;U271)</f>
        <v>0</v>
      </c>
    </row>
    <row r="272" spans="20:22" x14ac:dyDescent="0.3">
      <c r="T272" s="25">
        <v>51653</v>
      </c>
      <c r="U272" s="25">
        <f t="shared" si="5"/>
        <v>51682</v>
      </c>
      <c r="V272" s="24">
        <f>SUMIFS(Expense_Tracker_Table[Amount Spent],Expense_Tracker_Table[Expense Date],"&gt;="&amp;T272,Expense_Tracker_Table[Expense Date],"&lt;="&amp;U272)</f>
        <v>0</v>
      </c>
    </row>
    <row r="273" spans="20:22" x14ac:dyDescent="0.3">
      <c r="T273" s="25">
        <v>51683</v>
      </c>
      <c r="U273" s="25">
        <f t="shared" si="5"/>
        <v>51713</v>
      </c>
      <c r="V273" s="24">
        <f>SUMIFS(Expense_Tracker_Table[Amount Spent],Expense_Tracker_Table[Expense Date],"&gt;="&amp;T273,Expense_Tracker_Table[Expense Date],"&lt;="&amp;U273)</f>
        <v>0</v>
      </c>
    </row>
    <row r="274" spans="20:22" x14ac:dyDescent="0.3">
      <c r="T274" s="25">
        <v>51714</v>
      </c>
      <c r="U274" s="25">
        <f t="shared" si="5"/>
        <v>51744</v>
      </c>
      <c r="V274" s="24">
        <f>SUMIFS(Expense_Tracker_Table[Amount Spent],Expense_Tracker_Table[Expense Date],"&gt;="&amp;T274,Expense_Tracker_Table[Expense Date],"&lt;="&amp;U274)</f>
        <v>0</v>
      </c>
    </row>
    <row r="275" spans="20:22" x14ac:dyDescent="0.3">
      <c r="T275" s="25">
        <v>51745</v>
      </c>
      <c r="U275" s="25">
        <f t="shared" si="5"/>
        <v>51774</v>
      </c>
      <c r="V275" s="24">
        <f>SUMIFS(Expense_Tracker_Table[Amount Spent],Expense_Tracker_Table[Expense Date],"&gt;="&amp;T275,Expense_Tracker_Table[Expense Date],"&lt;="&amp;U275)</f>
        <v>0</v>
      </c>
    </row>
    <row r="276" spans="20:22" x14ac:dyDescent="0.3">
      <c r="T276" s="25">
        <v>51775</v>
      </c>
      <c r="U276" s="25">
        <f t="shared" si="5"/>
        <v>51805</v>
      </c>
      <c r="V276" s="24">
        <f>SUMIFS(Expense_Tracker_Table[Amount Spent],Expense_Tracker_Table[Expense Date],"&gt;="&amp;T276,Expense_Tracker_Table[Expense Date],"&lt;="&amp;U276)</f>
        <v>0</v>
      </c>
    </row>
    <row r="277" spans="20:22" x14ac:dyDescent="0.3">
      <c r="T277" s="25">
        <v>51806</v>
      </c>
      <c r="U277" s="25">
        <f t="shared" si="5"/>
        <v>51835</v>
      </c>
      <c r="V277" s="24">
        <f>SUMIFS(Expense_Tracker_Table[Amount Spent],Expense_Tracker_Table[Expense Date],"&gt;="&amp;T277,Expense_Tracker_Table[Expense Date],"&lt;="&amp;U277)</f>
        <v>0</v>
      </c>
    </row>
    <row r="278" spans="20:22" x14ac:dyDescent="0.3">
      <c r="T278" s="25">
        <v>51836</v>
      </c>
      <c r="U278" s="25">
        <f t="shared" si="5"/>
        <v>51866</v>
      </c>
      <c r="V278" s="24">
        <f>SUMIFS(Expense_Tracker_Table[Amount Spent],Expense_Tracker_Table[Expense Date],"&gt;="&amp;T278,Expense_Tracker_Table[Expense Date],"&lt;="&amp;U278)</f>
        <v>0</v>
      </c>
    </row>
    <row r="279" spans="20:22" x14ac:dyDescent="0.3">
      <c r="T279" s="25">
        <v>51867</v>
      </c>
      <c r="U279" s="25">
        <f t="shared" si="5"/>
        <v>51897</v>
      </c>
      <c r="V279" s="24">
        <f>SUMIFS(Expense_Tracker_Table[Amount Spent],Expense_Tracker_Table[Expense Date],"&gt;="&amp;T279,Expense_Tracker_Table[Expense Date],"&lt;="&amp;U279)</f>
        <v>0</v>
      </c>
    </row>
    <row r="280" spans="20:22" x14ac:dyDescent="0.3">
      <c r="T280" s="25">
        <v>51898</v>
      </c>
      <c r="U280" s="25">
        <f t="shared" si="5"/>
        <v>51925</v>
      </c>
      <c r="V280" s="24">
        <f>SUMIFS(Expense_Tracker_Table[Amount Spent],Expense_Tracker_Table[Expense Date],"&gt;="&amp;T280,Expense_Tracker_Table[Expense Date],"&lt;="&amp;U280)</f>
        <v>0</v>
      </c>
    </row>
    <row r="281" spans="20:22" x14ac:dyDescent="0.3">
      <c r="T281" s="25">
        <v>51926</v>
      </c>
      <c r="U281" s="25">
        <f t="shared" si="5"/>
        <v>51956</v>
      </c>
      <c r="V281" s="24">
        <f>SUMIFS(Expense_Tracker_Table[Amount Spent],Expense_Tracker_Table[Expense Date],"&gt;="&amp;T281,Expense_Tracker_Table[Expense Date],"&lt;="&amp;U281)</f>
        <v>0</v>
      </c>
    </row>
    <row r="282" spans="20:22" x14ac:dyDescent="0.3">
      <c r="T282" s="25">
        <v>51957</v>
      </c>
      <c r="U282" s="25">
        <f t="shared" si="5"/>
        <v>51986</v>
      </c>
      <c r="V282" s="24">
        <f>SUMIFS(Expense_Tracker_Table[Amount Spent],Expense_Tracker_Table[Expense Date],"&gt;="&amp;T282,Expense_Tracker_Table[Expense Date],"&lt;="&amp;U282)</f>
        <v>0</v>
      </c>
    </row>
    <row r="283" spans="20:22" x14ac:dyDescent="0.3">
      <c r="T283" s="25">
        <v>51987</v>
      </c>
      <c r="U283" s="25">
        <f t="shared" si="5"/>
        <v>52017</v>
      </c>
      <c r="V283" s="24">
        <f>SUMIFS(Expense_Tracker_Table[Amount Spent],Expense_Tracker_Table[Expense Date],"&gt;="&amp;T283,Expense_Tracker_Table[Expense Date],"&lt;="&amp;U283)</f>
        <v>0</v>
      </c>
    </row>
    <row r="284" spans="20:22" x14ac:dyDescent="0.3">
      <c r="T284" s="25">
        <v>52018</v>
      </c>
      <c r="U284" s="25">
        <f t="shared" si="5"/>
        <v>52047</v>
      </c>
      <c r="V284" s="24">
        <f>SUMIFS(Expense_Tracker_Table[Amount Spent],Expense_Tracker_Table[Expense Date],"&gt;="&amp;T284,Expense_Tracker_Table[Expense Date],"&lt;="&amp;U284)</f>
        <v>0</v>
      </c>
    </row>
    <row r="285" spans="20:22" x14ac:dyDescent="0.3">
      <c r="T285" s="25">
        <v>52048</v>
      </c>
      <c r="U285" s="25">
        <f t="shared" si="5"/>
        <v>52078</v>
      </c>
      <c r="V285" s="24">
        <f>SUMIFS(Expense_Tracker_Table[Amount Spent],Expense_Tracker_Table[Expense Date],"&gt;="&amp;T285,Expense_Tracker_Table[Expense Date],"&lt;="&amp;U285)</f>
        <v>0</v>
      </c>
    </row>
    <row r="286" spans="20:22" x14ac:dyDescent="0.3">
      <c r="T286" s="25">
        <v>52079</v>
      </c>
      <c r="U286" s="25">
        <f t="shared" si="5"/>
        <v>52109</v>
      </c>
      <c r="V286" s="24">
        <f>SUMIFS(Expense_Tracker_Table[Amount Spent],Expense_Tracker_Table[Expense Date],"&gt;="&amp;T286,Expense_Tracker_Table[Expense Date],"&lt;="&amp;U286)</f>
        <v>0</v>
      </c>
    </row>
    <row r="287" spans="20:22" x14ac:dyDescent="0.3">
      <c r="T287" s="25">
        <v>52110</v>
      </c>
      <c r="U287" s="25">
        <f t="shared" si="5"/>
        <v>52139</v>
      </c>
      <c r="V287" s="24">
        <f>SUMIFS(Expense_Tracker_Table[Amount Spent],Expense_Tracker_Table[Expense Date],"&gt;="&amp;T287,Expense_Tracker_Table[Expense Date],"&lt;="&amp;U287)</f>
        <v>0</v>
      </c>
    </row>
    <row r="288" spans="20:22" x14ac:dyDescent="0.3">
      <c r="T288" s="25">
        <v>52140</v>
      </c>
      <c r="U288" s="25">
        <f t="shared" si="5"/>
        <v>52170</v>
      </c>
      <c r="V288" s="24">
        <f>SUMIFS(Expense_Tracker_Table[Amount Spent],Expense_Tracker_Table[Expense Date],"&gt;="&amp;T288,Expense_Tracker_Table[Expense Date],"&lt;="&amp;U288)</f>
        <v>0</v>
      </c>
    </row>
    <row r="289" spans="20:22" x14ac:dyDescent="0.3">
      <c r="T289" s="25">
        <v>52171</v>
      </c>
      <c r="U289" s="25">
        <f t="shared" si="5"/>
        <v>52200</v>
      </c>
      <c r="V289" s="24">
        <f>SUMIFS(Expense_Tracker_Table[Amount Spent],Expense_Tracker_Table[Expense Date],"&gt;="&amp;T289,Expense_Tracker_Table[Expense Date],"&lt;="&amp;U289)</f>
        <v>0</v>
      </c>
    </row>
    <row r="290" spans="20:22" x14ac:dyDescent="0.3">
      <c r="T290" s="25">
        <v>52201</v>
      </c>
      <c r="U290" s="25">
        <f t="shared" si="5"/>
        <v>52231</v>
      </c>
      <c r="V290" s="24">
        <f>SUMIFS(Expense_Tracker_Table[Amount Spent],Expense_Tracker_Table[Expense Date],"&gt;="&amp;T290,Expense_Tracker_Table[Expense Date],"&lt;="&amp;U290)</f>
        <v>0</v>
      </c>
    </row>
    <row r="291" spans="20:22" x14ac:dyDescent="0.3">
      <c r="T291" s="25">
        <v>52232</v>
      </c>
      <c r="U291" s="25">
        <f t="shared" si="5"/>
        <v>52262</v>
      </c>
      <c r="V291" s="24">
        <f>SUMIFS(Expense_Tracker_Table[Amount Spent],Expense_Tracker_Table[Expense Date],"&gt;="&amp;T291,Expense_Tracker_Table[Expense Date],"&lt;="&amp;U291)</f>
        <v>0</v>
      </c>
    </row>
    <row r="292" spans="20:22" x14ac:dyDescent="0.3">
      <c r="T292" s="25">
        <v>52263</v>
      </c>
      <c r="U292" s="25">
        <f t="shared" si="5"/>
        <v>52290</v>
      </c>
      <c r="V292" s="24">
        <f>SUMIFS(Expense_Tracker_Table[Amount Spent],Expense_Tracker_Table[Expense Date],"&gt;="&amp;T292,Expense_Tracker_Table[Expense Date],"&lt;="&amp;U292)</f>
        <v>0</v>
      </c>
    </row>
    <row r="293" spans="20:22" x14ac:dyDescent="0.3">
      <c r="T293" s="25">
        <v>52291</v>
      </c>
      <c r="U293" s="25">
        <f t="shared" si="5"/>
        <v>52321</v>
      </c>
      <c r="V293" s="24">
        <f>SUMIFS(Expense_Tracker_Table[Amount Spent],Expense_Tracker_Table[Expense Date],"&gt;="&amp;T293,Expense_Tracker_Table[Expense Date],"&lt;="&amp;U293)</f>
        <v>0</v>
      </c>
    </row>
    <row r="294" spans="20:22" x14ac:dyDescent="0.3">
      <c r="T294" s="25">
        <v>52322</v>
      </c>
      <c r="U294" s="25">
        <f t="shared" si="5"/>
        <v>52351</v>
      </c>
      <c r="V294" s="24">
        <f>SUMIFS(Expense_Tracker_Table[Amount Spent],Expense_Tracker_Table[Expense Date],"&gt;="&amp;T294,Expense_Tracker_Table[Expense Date],"&lt;="&amp;U294)</f>
        <v>0</v>
      </c>
    </row>
    <row r="295" spans="20:22" x14ac:dyDescent="0.3">
      <c r="T295" s="25">
        <v>52352</v>
      </c>
      <c r="U295" s="25">
        <f t="shared" si="5"/>
        <v>52382</v>
      </c>
      <c r="V295" s="24">
        <f>SUMIFS(Expense_Tracker_Table[Amount Spent],Expense_Tracker_Table[Expense Date],"&gt;="&amp;T295,Expense_Tracker_Table[Expense Date],"&lt;="&amp;U295)</f>
        <v>0</v>
      </c>
    </row>
    <row r="296" spans="20:22" x14ac:dyDescent="0.3">
      <c r="T296" s="25">
        <v>52383</v>
      </c>
      <c r="U296" s="25">
        <f t="shared" si="5"/>
        <v>52412</v>
      </c>
      <c r="V296" s="24">
        <f>SUMIFS(Expense_Tracker_Table[Amount Spent],Expense_Tracker_Table[Expense Date],"&gt;="&amp;T296,Expense_Tracker_Table[Expense Date],"&lt;="&amp;U296)</f>
        <v>0</v>
      </c>
    </row>
    <row r="297" spans="20:22" x14ac:dyDescent="0.3">
      <c r="T297" s="25">
        <v>52413</v>
      </c>
      <c r="U297" s="25">
        <f t="shared" si="5"/>
        <v>52443</v>
      </c>
      <c r="V297" s="24">
        <f>SUMIFS(Expense_Tracker_Table[Amount Spent],Expense_Tracker_Table[Expense Date],"&gt;="&amp;T297,Expense_Tracker_Table[Expense Date],"&lt;="&amp;U297)</f>
        <v>0</v>
      </c>
    </row>
    <row r="298" spans="20:22" x14ac:dyDescent="0.3">
      <c r="T298" s="25">
        <v>52444</v>
      </c>
      <c r="U298" s="25">
        <f t="shared" si="5"/>
        <v>52474</v>
      </c>
      <c r="V298" s="24">
        <f>SUMIFS(Expense_Tracker_Table[Amount Spent],Expense_Tracker_Table[Expense Date],"&gt;="&amp;T298,Expense_Tracker_Table[Expense Date],"&lt;="&amp;U298)</f>
        <v>0</v>
      </c>
    </row>
    <row r="299" spans="20:22" x14ac:dyDescent="0.3">
      <c r="T299" s="25">
        <v>52475</v>
      </c>
      <c r="U299" s="25">
        <f t="shared" si="5"/>
        <v>52504</v>
      </c>
      <c r="V299" s="24">
        <f>SUMIFS(Expense_Tracker_Table[Amount Spent],Expense_Tracker_Table[Expense Date],"&gt;="&amp;T299,Expense_Tracker_Table[Expense Date],"&lt;="&amp;U299)</f>
        <v>0</v>
      </c>
    </row>
    <row r="300" spans="20:22" x14ac:dyDescent="0.3">
      <c r="T300" s="25">
        <v>52505</v>
      </c>
      <c r="U300" s="25">
        <f t="shared" si="5"/>
        <v>52535</v>
      </c>
      <c r="V300" s="24">
        <f>SUMIFS(Expense_Tracker_Table[Amount Spent],Expense_Tracker_Table[Expense Date],"&gt;="&amp;T300,Expense_Tracker_Table[Expense Date],"&lt;="&amp;U300)</f>
        <v>0</v>
      </c>
    </row>
    <row r="301" spans="20:22" x14ac:dyDescent="0.3">
      <c r="T301" s="25">
        <v>52536</v>
      </c>
      <c r="U301" s="25">
        <f t="shared" si="5"/>
        <v>52565</v>
      </c>
      <c r="V301" s="24">
        <f>SUMIFS(Expense_Tracker_Table[Amount Spent],Expense_Tracker_Table[Expense Date],"&gt;="&amp;T301,Expense_Tracker_Table[Expense Date],"&lt;="&amp;U301)</f>
        <v>0</v>
      </c>
    </row>
    <row r="302" spans="20:22" x14ac:dyDescent="0.3">
      <c r="T302" s="25">
        <v>52566</v>
      </c>
      <c r="U302" s="25">
        <f t="shared" si="5"/>
        <v>52596</v>
      </c>
      <c r="V302" s="24">
        <f>SUMIFS(Expense_Tracker_Table[Amount Spent],Expense_Tracker_Table[Expense Date],"&gt;="&amp;T302,Expense_Tracker_Table[Expense Date],"&lt;="&amp;U302)</f>
        <v>0</v>
      </c>
    </row>
    <row r="303" spans="20:22" x14ac:dyDescent="0.3">
      <c r="T303" s="25">
        <v>52597</v>
      </c>
      <c r="U303" s="25">
        <f t="shared" si="5"/>
        <v>52627</v>
      </c>
      <c r="V303" s="24">
        <f>SUMIFS(Expense_Tracker_Table[Amount Spent],Expense_Tracker_Table[Expense Date],"&gt;="&amp;T303,Expense_Tracker_Table[Expense Date],"&lt;="&amp;U303)</f>
        <v>0</v>
      </c>
    </row>
    <row r="304" spans="20:22" x14ac:dyDescent="0.3">
      <c r="T304" s="25">
        <v>52628</v>
      </c>
      <c r="U304" s="25">
        <f t="shared" si="5"/>
        <v>52656</v>
      </c>
      <c r="V304" s="24">
        <f>SUMIFS(Expense_Tracker_Table[Amount Spent],Expense_Tracker_Table[Expense Date],"&gt;="&amp;T304,Expense_Tracker_Table[Expense Date],"&lt;="&amp;U304)</f>
        <v>0</v>
      </c>
    </row>
    <row r="305" spans="20:22" x14ac:dyDescent="0.3">
      <c r="T305" s="25">
        <v>52657</v>
      </c>
      <c r="U305" s="25">
        <f t="shared" si="5"/>
        <v>52687</v>
      </c>
      <c r="V305" s="24">
        <f>SUMIFS(Expense_Tracker_Table[Amount Spent],Expense_Tracker_Table[Expense Date],"&gt;="&amp;T305,Expense_Tracker_Table[Expense Date],"&lt;="&amp;U305)</f>
        <v>0</v>
      </c>
    </row>
    <row r="306" spans="20:22" x14ac:dyDescent="0.3">
      <c r="T306" s="25">
        <v>52688</v>
      </c>
      <c r="U306" s="25">
        <f t="shared" si="5"/>
        <v>52717</v>
      </c>
      <c r="V306" s="24">
        <f>SUMIFS(Expense_Tracker_Table[Amount Spent],Expense_Tracker_Table[Expense Date],"&gt;="&amp;T306,Expense_Tracker_Table[Expense Date],"&lt;="&amp;U306)</f>
        <v>0</v>
      </c>
    </row>
    <row r="307" spans="20:22" x14ac:dyDescent="0.3">
      <c r="T307" s="25">
        <v>52718</v>
      </c>
      <c r="U307" s="25">
        <f t="shared" si="5"/>
        <v>52748</v>
      </c>
      <c r="V307" s="24">
        <f>SUMIFS(Expense_Tracker_Table[Amount Spent],Expense_Tracker_Table[Expense Date],"&gt;="&amp;T307,Expense_Tracker_Table[Expense Date],"&lt;="&amp;U307)</f>
        <v>0</v>
      </c>
    </row>
    <row r="308" spans="20:22" x14ac:dyDescent="0.3">
      <c r="T308" s="25">
        <v>52749</v>
      </c>
      <c r="U308" s="25">
        <f t="shared" si="5"/>
        <v>52778</v>
      </c>
      <c r="V308" s="24">
        <f>SUMIFS(Expense_Tracker_Table[Amount Spent],Expense_Tracker_Table[Expense Date],"&gt;="&amp;T308,Expense_Tracker_Table[Expense Date],"&lt;="&amp;U308)</f>
        <v>0</v>
      </c>
    </row>
    <row r="309" spans="20:22" x14ac:dyDescent="0.3">
      <c r="T309" s="25">
        <v>52779</v>
      </c>
      <c r="U309" s="25">
        <f t="shared" si="5"/>
        <v>52809</v>
      </c>
      <c r="V309" s="24">
        <f>SUMIFS(Expense_Tracker_Table[Amount Spent],Expense_Tracker_Table[Expense Date],"&gt;="&amp;T309,Expense_Tracker_Table[Expense Date],"&lt;="&amp;U309)</f>
        <v>0</v>
      </c>
    </row>
    <row r="310" spans="20:22" x14ac:dyDescent="0.3">
      <c r="T310" s="25">
        <v>52810</v>
      </c>
      <c r="U310" s="25">
        <f t="shared" si="5"/>
        <v>52840</v>
      </c>
      <c r="V310" s="24">
        <f>SUMIFS(Expense_Tracker_Table[Amount Spent],Expense_Tracker_Table[Expense Date],"&gt;="&amp;T310,Expense_Tracker_Table[Expense Date],"&lt;="&amp;U310)</f>
        <v>0</v>
      </c>
    </row>
    <row r="311" spans="20:22" x14ac:dyDescent="0.3">
      <c r="T311" s="25">
        <v>52841</v>
      </c>
      <c r="U311" s="25">
        <f t="shared" si="5"/>
        <v>52870</v>
      </c>
      <c r="V311" s="24">
        <f>SUMIFS(Expense_Tracker_Table[Amount Spent],Expense_Tracker_Table[Expense Date],"&gt;="&amp;T311,Expense_Tracker_Table[Expense Date],"&lt;="&amp;U311)</f>
        <v>0</v>
      </c>
    </row>
    <row r="312" spans="20:22" x14ac:dyDescent="0.3">
      <c r="T312" s="25">
        <v>52871</v>
      </c>
      <c r="U312" s="25">
        <f t="shared" si="5"/>
        <v>52901</v>
      </c>
      <c r="V312" s="24">
        <f>SUMIFS(Expense_Tracker_Table[Amount Spent],Expense_Tracker_Table[Expense Date],"&gt;="&amp;T312,Expense_Tracker_Table[Expense Date],"&lt;="&amp;U312)</f>
        <v>0</v>
      </c>
    </row>
    <row r="313" spans="20:22" x14ac:dyDescent="0.3">
      <c r="T313" s="25">
        <v>52902</v>
      </c>
      <c r="U313" s="25">
        <f t="shared" si="5"/>
        <v>52931</v>
      </c>
      <c r="V313" s="24">
        <f>SUMIFS(Expense_Tracker_Table[Amount Spent],Expense_Tracker_Table[Expense Date],"&gt;="&amp;T313,Expense_Tracker_Table[Expense Date],"&lt;="&amp;U313)</f>
        <v>0</v>
      </c>
    </row>
    <row r="314" spans="20:22" x14ac:dyDescent="0.3">
      <c r="T314" s="25">
        <v>52932</v>
      </c>
      <c r="U314" s="25">
        <f t="shared" si="5"/>
        <v>52962</v>
      </c>
      <c r="V314" s="24">
        <f>SUMIFS(Expense_Tracker_Table[Amount Spent],Expense_Tracker_Table[Expense Date],"&gt;="&amp;T314,Expense_Tracker_Table[Expense Date],"&lt;="&amp;U314)</f>
        <v>0</v>
      </c>
    </row>
    <row r="315" spans="20:22" x14ac:dyDescent="0.3">
      <c r="T315" s="25">
        <v>52963</v>
      </c>
      <c r="U315" s="25">
        <f t="shared" si="5"/>
        <v>52993</v>
      </c>
      <c r="V315" s="24">
        <f>SUMIFS(Expense_Tracker_Table[Amount Spent],Expense_Tracker_Table[Expense Date],"&gt;="&amp;T315,Expense_Tracker_Table[Expense Date],"&lt;="&amp;U315)</f>
        <v>0</v>
      </c>
    </row>
    <row r="316" spans="20:22" x14ac:dyDescent="0.3">
      <c r="T316" s="25">
        <v>52994</v>
      </c>
      <c r="U316" s="25">
        <f t="shared" si="5"/>
        <v>53021</v>
      </c>
      <c r="V316" s="24">
        <f>SUMIFS(Expense_Tracker_Table[Amount Spent],Expense_Tracker_Table[Expense Date],"&gt;="&amp;T316,Expense_Tracker_Table[Expense Date],"&lt;="&amp;U316)</f>
        <v>0</v>
      </c>
    </row>
    <row r="317" spans="20:22" x14ac:dyDescent="0.3">
      <c r="T317" s="25">
        <v>53022</v>
      </c>
      <c r="U317" s="25">
        <f t="shared" si="5"/>
        <v>53052</v>
      </c>
      <c r="V317" s="24">
        <f>SUMIFS(Expense_Tracker_Table[Amount Spent],Expense_Tracker_Table[Expense Date],"&gt;="&amp;T317,Expense_Tracker_Table[Expense Date],"&lt;="&amp;U317)</f>
        <v>0</v>
      </c>
    </row>
    <row r="318" spans="20:22" x14ac:dyDescent="0.3">
      <c r="T318" s="25">
        <v>53053</v>
      </c>
      <c r="U318" s="25">
        <f t="shared" si="5"/>
        <v>53082</v>
      </c>
      <c r="V318" s="24">
        <f>SUMIFS(Expense_Tracker_Table[Amount Spent],Expense_Tracker_Table[Expense Date],"&gt;="&amp;T318,Expense_Tracker_Table[Expense Date],"&lt;="&amp;U318)</f>
        <v>0</v>
      </c>
    </row>
    <row r="319" spans="20:22" x14ac:dyDescent="0.3">
      <c r="T319" s="25">
        <v>53083</v>
      </c>
      <c r="U319" s="25">
        <f t="shared" si="5"/>
        <v>53113</v>
      </c>
      <c r="V319" s="24">
        <f>SUMIFS(Expense_Tracker_Table[Amount Spent],Expense_Tracker_Table[Expense Date],"&gt;="&amp;T319,Expense_Tracker_Table[Expense Date],"&lt;="&amp;U319)</f>
        <v>0</v>
      </c>
    </row>
    <row r="320" spans="20:22" x14ac:dyDescent="0.3">
      <c r="T320" s="25">
        <v>53114</v>
      </c>
      <c r="U320" s="25">
        <f t="shared" si="5"/>
        <v>53143</v>
      </c>
      <c r="V320" s="24">
        <f>SUMIFS(Expense_Tracker_Table[Amount Spent],Expense_Tracker_Table[Expense Date],"&gt;="&amp;T320,Expense_Tracker_Table[Expense Date],"&lt;="&amp;U320)</f>
        <v>0</v>
      </c>
    </row>
    <row r="321" spans="20:22" x14ac:dyDescent="0.3">
      <c r="T321" s="25">
        <v>53144</v>
      </c>
      <c r="U321" s="25">
        <f t="shared" si="5"/>
        <v>53174</v>
      </c>
      <c r="V321" s="24">
        <f>SUMIFS(Expense_Tracker_Table[Amount Spent],Expense_Tracker_Table[Expense Date],"&gt;="&amp;T321,Expense_Tracker_Table[Expense Date],"&lt;="&amp;U321)</f>
        <v>0</v>
      </c>
    </row>
    <row r="322" spans="20:22" x14ac:dyDescent="0.3">
      <c r="T322" s="25">
        <v>53175</v>
      </c>
      <c r="U322" s="25">
        <f t="shared" si="5"/>
        <v>53205</v>
      </c>
      <c r="V322" s="24">
        <f>SUMIFS(Expense_Tracker_Table[Amount Spent],Expense_Tracker_Table[Expense Date],"&gt;="&amp;T322,Expense_Tracker_Table[Expense Date],"&lt;="&amp;U322)</f>
        <v>0</v>
      </c>
    </row>
    <row r="323" spans="20:22" x14ac:dyDescent="0.3">
      <c r="T323" s="25">
        <v>53206</v>
      </c>
      <c r="U323" s="25">
        <f t="shared" si="5"/>
        <v>53235</v>
      </c>
      <c r="V323" s="24">
        <f>SUMIFS(Expense_Tracker_Table[Amount Spent],Expense_Tracker_Table[Expense Date],"&gt;="&amp;T323,Expense_Tracker_Table[Expense Date],"&lt;="&amp;U323)</f>
        <v>0</v>
      </c>
    </row>
    <row r="324" spans="20:22" x14ac:dyDescent="0.3">
      <c r="T324" s="25">
        <v>53236</v>
      </c>
      <c r="U324" s="25">
        <f t="shared" si="5"/>
        <v>53266</v>
      </c>
      <c r="V324" s="24">
        <f>SUMIFS(Expense_Tracker_Table[Amount Spent],Expense_Tracker_Table[Expense Date],"&gt;="&amp;T324,Expense_Tracker_Table[Expense Date],"&lt;="&amp;U324)</f>
        <v>0</v>
      </c>
    </row>
    <row r="325" spans="20:22" x14ac:dyDescent="0.3">
      <c r="T325" s="25">
        <v>53267</v>
      </c>
      <c r="U325" s="25">
        <f t="shared" si="5"/>
        <v>53296</v>
      </c>
      <c r="V325" s="24">
        <f>SUMIFS(Expense_Tracker_Table[Amount Spent],Expense_Tracker_Table[Expense Date],"&gt;="&amp;T325,Expense_Tracker_Table[Expense Date],"&lt;="&amp;U325)</f>
        <v>0</v>
      </c>
    </row>
    <row r="326" spans="20:22" x14ac:dyDescent="0.3">
      <c r="T326" s="25">
        <v>53297</v>
      </c>
      <c r="U326" s="25">
        <f t="shared" si="5"/>
        <v>53327</v>
      </c>
      <c r="V326" s="24">
        <f>SUMIFS(Expense_Tracker_Table[Amount Spent],Expense_Tracker_Table[Expense Date],"&gt;="&amp;T326,Expense_Tracker_Table[Expense Date],"&lt;="&amp;U326)</f>
        <v>0</v>
      </c>
    </row>
    <row r="327" spans="20:22" x14ac:dyDescent="0.3">
      <c r="T327" s="25">
        <v>53328</v>
      </c>
      <c r="U327" s="25">
        <f t="shared" si="5"/>
        <v>53358</v>
      </c>
      <c r="V327" s="24">
        <f>SUMIFS(Expense_Tracker_Table[Amount Spent],Expense_Tracker_Table[Expense Date],"&gt;="&amp;T327,Expense_Tracker_Table[Expense Date],"&lt;="&amp;U327)</f>
        <v>0</v>
      </c>
    </row>
    <row r="328" spans="20:22" x14ac:dyDescent="0.3">
      <c r="T328" s="25">
        <v>53359</v>
      </c>
      <c r="U328" s="25">
        <f t="shared" si="5"/>
        <v>53386</v>
      </c>
      <c r="V328" s="24">
        <f>SUMIFS(Expense_Tracker_Table[Amount Spent],Expense_Tracker_Table[Expense Date],"&gt;="&amp;T328,Expense_Tracker_Table[Expense Date],"&lt;="&amp;U328)</f>
        <v>0</v>
      </c>
    </row>
    <row r="329" spans="20:22" x14ac:dyDescent="0.3">
      <c r="T329" s="25">
        <v>53387</v>
      </c>
      <c r="U329" s="25">
        <f t="shared" ref="U329:U392" si="6">EOMONTH(T329,0)</f>
        <v>53417</v>
      </c>
      <c r="V329" s="24">
        <f>SUMIFS(Expense_Tracker_Table[Amount Spent],Expense_Tracker_Table[Expense Date],"&gt;="&amp;T329,Expense_Tracker_Table[Expense Date],"&lt;="&amp;U329)</f>
        <v>0</v>
      </c>
    </row>
    <row r="330" spans="20:22" x14ac:dyDescent="0.3">
      <c r="T330" s="25">
        <v>53418</v>
      </c>
      <c r="U330" s="25">
        <f t="shared" si="6"/>
        <v>53447</v>
      </c>
      <c r="V330" s="24">
        <f>SUMIFS(Expense_Tracker_Table[Amount Spent],Expense_Tracker_Table[Expense Date],"&gt;="&amp;T330,Expense_Tracker_Table[Expense Date],"&lt;="&amp;U330)</f>
        <v>0</v>
      </c>
    </row>
    <row r="331" spans="20:22" x14ac:dyDescent="0.3">
      <c r="T331" s="25">
        <v>53448</v>
      </c>
      <c r="U331" s="25">
        <f t="shared" si="6"/>
        <v>53478</v>
      </c>
      <c r="V331" s="24">
        <f>SUMIFS(Expense_Tracker_Table[Amount Spent],Expense_Tracker_Table[Expense Date],"&gt;="&amp;T331,Expense_Tracker_Table[Expense Date],"&lt;="&amp;U331)</f>
        <v>0</v>
      </c>
    </row>
    <row r="332" spans="20:22" x14ac:dyDescent="0.3">
      <c r="T332" s="25">
        <v>53479</v>
      </c>
      <c r="U332" s="25">
        <f t="shared" si="6"/>
        <v>53508</v>
      </c>
      <c r="V332" s="24">
        <f>SUMIFS(Expense_Tracker_Table[Amount Spent],Expense_Tracker_Table[Expense Date],"&gt;="&amp;T332,Expense_Tracker_Table[Expense Date],"&lt;="&amp;U332)</f>
        <v>0</v>
      </c>
    </row>
    <row r="333" spans="20:22" x14ac:dyDescent="0.3">
      <c r="T333" s="25">
        <v>53509</v>
      </c>
      <c r="U333" s="25">
        <f t="shared" si="6"/>
        <v>53539</v>
      </c>
      <c r="V333" s="24">
        <f>SUMIFS(Expense_Tracker_Table[Amount Spent],Expense_Tracker_Table[Expense Date],"&gt;="&amp;T333,Expense_Tracker_Table[Expense Date],"&lt;="&amp;U333)</f>
        <v>0</v>
      </c>
    </row>
    <row r="334" spans="20:22" x14ac:dyDescent="0.3">
      <c r="T334" s="25">
        <v>53540</v>
      </c>
      <c r="U334" s="25">
        <f t="shared" si="6"/>
        <v>53570</v>
      </c>
      <c r="V334" s="24">
        <f>SUMIFS(Expense_Tracker_Table[Amount Spent],Expense_Tracker_Table[Expense Date],"&gt;="&amp;T334,Expense_Tracker_Table[Expense Date],"&lt;="&amp;U334)</f>
        <v>0</v>
      </c>
    </row>
    <row r="335" spans="20:22" x14ac:dyDescent="0.3">
      <c r="T335" s="25">
        <v>53571</v>
      </c>
      <c r="U335" s="25">
        <f t="shared" si="6"/>
        <v>53600</v>
      </c>
      <c r="V335" s="24">
        <f>SUMIFS(Expense_Tracker_Table[Amount Spent],Expense_Tracker_Table[Expense Date],"&gt;="&amp;T335,Expense_Tracker_Table[Expense Date],"&lt;="&amp;U335)</f>
        <v>0</v>
      </c>
    </row>
    <row r="336" spans="20:22" x14ac:dyDescent="0.3">
      <c r="T336" s="25">
        <v>53601</v>
      </c>
      <c r="U336" s="25">
        <f t="shared" si="6"/>
        <v>53631</v>
      </c>
      <c r="V336" s="24">
        <f>SUMIFS(Expense_Tracker_Table[Amount Spent],Expense_Tracker_Table[Expense Date],"&gt;="&amp;T336,Expense_Tracker_Table[Expense Date],"&lt;="&amp;U336)</f>
        <v>0</v>
      </c>
    </row>
    <row r="337" spans="20:22" x14ac:dyDescent="0.3">
      <c r="T337" s="25">
        <v>53632</v>
      </c>
      <c r="U337" s="25">
        <f t="shared" si="6"/>
        <v>53661</v>
      </c>
      <c r="V337" s="24">
        <f>SUMIFS(Expense_Tracker_Table[Amount Spent],Expense_Tracker_Table[Expense Date],"&gt;="&amp;T337,Expense_Tracker_Table[Expense Date],"&lt;="&amp;U337)</f>
        <v>0</v>
      </c>
    </row>
    <row r="338" spans="20:22" x14ac:dyDescent="0.3">
      <c r="T338" s="25">
        <v>53662</v>
      </c>
      <c r="U338" s="25">
        <f t="shared" si="6"/>
        <v>53692</v>
      </c>
      <c r="V338" s="24">
        <f>SUMIFS(Expense_Tracker_Table[Amount Spent],Expense_Tracker_Table[Expense Date],"&gt;="&amp;T338,Expense_Tracker_Table[Expense Date],"&lt;="&amp;U338)</f>
        <v>0</v>
      </c>
    </row>
    <row r="339" spans="20:22" x14ac:dyDescent="0.3">
      <c r="T339" s="25">
        <v>53693</v>
      </c>
      <c r="U339" s="25">
        <f t="shared" si="6"/>
        <v>53723</v>
      </c>
      <c r="V339" s="24">
        <f>SUMIFS(Expense_Tracker_Table[Amount Spent],Expense_Tracker_Table[Expense Date],"&gt;="&amp;T339,Expense_Tracker_Table[Expense Date],"&lt;="&amp;U339)</f>
        <v>0</v>
      </c>
    </row>
    <row r="340" spans="20:22" x14ac:dyDescent="0.3">
      <c r="T340" s="25">
        <v>53724</v>
      </c>
      <c r="U340" s="25">
        <f t="shared" si="6"/>
        <v>53751</v>
      </c>
      <c r="V340" s="24">
        <f>SUMIFS(Expense_Tracker_Table[Amount Spent],Expense_Tracker_Table[Expense Date],"&gt;="&amp;T340,Expense_Tracker_Table[Expense Date],"&lt;="&amp;U340)</f>
        <v>0</v>
      </c>
    </row>
    <row r="341" spans="20:22" x14ac:dyDescent="0.3">
      <c r="T341" s="25">
        <v>53752</v>
      </c>
      <c r="U341" s="25">
        <f t="shared" si="6"/>
        <v>53782</v>
      </c>
      <c r="V341" s="24">
        <f>SUMIFS(Expense_Tracker_Table[Amount Spent],Expense_Tracker_Table[Expense Date],"&gt;="&amp;T341,Expense_Tracker_Table[Expense Date],"&lt;="&amp;U341)</f>
        <v>0</v>
      </c>
    </row>
    <row r="342" spans="20:22" x14ac:dyDescent="0.3">
      <c r="T342" s="25">
        <v>53783</v>
      </c>
      <c r="U342" s="25">
        <f t="shared" si="6"/>
        <v>53812</v>
      </c>
      <c r="V342" s="24">
        <f>SUMIFS(Expense_Tracker_Table[Amount Spent],Expense_Tracker_Table[Expense Date],"&gt;="&amp;T342,Expense_Tracker_Table[Expense Date],"&lt;="&amp;U342)</f>
        <v>0</v>
      </c>
    </row>
    <row r="343" spans="20:22" x14ac:dyDescent="0.3">
      <c r="T343" s="25">
        <v>53813</v>
      </c>
      <c r="U343" s="25">
        <f t="shared" si="6"/>
        <v>53843</v>
      </c>
      <c r="V343" s="24">
        <f>SUMIFS(Expense_Tracker_Table[Amount Spent],Expense_Tracker_Table[Expense Date],"&gt;="&amp;T343,Expense_Tracker_Table[Expense Date],"&lt;="&amp;U343)</f>
        <v>0</v>
      </c>
    </row>
    <row r="344" spans="20:22" x14ac:dyDescent="0.3">
      <c r="T344" s="25">
        <v>53844</v>
      </c>
      <c r="U344" s="25">
        <f t="shared" si="6"/>
        <v>53873</v>
      </c>
      <c r="V344" s="24">
        <f>SUMIFS(Expense_Tracker_Table[Amount Spent],Expense_Tracker_Table[Expense Date],"&gt;="&amp;T344,Expense_Tracker_Table[Expense Date],"&lt;="&amp;U344)</f>
        <v>0</v>
      </c>
    </row>
    <row r="345" spans="20:22" x14ac:dyDescent="0.3">
      <c r="T345" s="25">
        <v>53874</v>
      </c>
      <c r="U345" s="25">
        <f t="shared" si="6"/>
        <v>53904</v>
      </c>
      <c r="V345" s="24">
        <f>SUMIFS(Expense_Tracker_Table[Amount Spent],Expense_Tracker_Table[Expense Date],"&gt;="&amp;T345,Expense_Tracker_Table[Expense Date],"&lt;="&amp;U345)</f>
        <v>0</v>
      </c>
    </row>
    <row r="346" spans="20:22" x14ac:dyDescent="0.3">
      <c r="T346" s="25">
        <v>53905</v>
      </c>
      <c r="U346" s="25">
        <f t="shared" si="6"/>
        <v>53935</v>
      </c>
      <c r="V346" s="24">
        <f>SUMIFS(Expense_Tracker_Table[Amount Spent],Expense_Tracker_Table[Expense Date],"&gt;="&amp;T346,Expense_Tracker_Table[Expense Date],"&lt;="&amp;U346)</f>
        <v>0</v>
      </c>
    </row>
    <row r="347" spans="20:22" x14ac:dyDescent="0.3">
      <c r="T347" s="25">
        <v>53936</v>
      </c>
      <c r="U347" s="25">
        <f t="shared" si="6"/>
        <v>53965</v>
      </c>
      <c r="V347" s="24">
        <f>SUMIFS(Expense_Tracker_Table[Amount Spent],Expense_Tracker_Table[Expense Date],"&gt;="&amp;T347,Expense_Tracker_Table[Expense Date],"&lt;="&amp;U347)</f>
        <v>0</v>
      </c>
    </row>
    <row r="348" spans="20:22" x14ac:dyDescent="0.3">
      <c r="T348" s="25">
        <v>53966</v>
      </c>
      <c r="U348" s="25">
        <f t="shared" si="6"/>
        <v>53996</v>
      </c>
      <c r="V348" s="24">
        <f>SUMIFS(Expense_Tracker_Table[Amount Spent],Expense_Tracker_Table[Expense Date],"&gt;="&amp;T348,Expense_Tracker_Table[Expense Date],"&lt;="&amp;U348)</f>
        <v>0</v>
      </c>
    </row>
    <row r="349" spans="20:22" x14ac:dyDescent="0.3">
      <c r="T349" s="25">
        <v>53997</v>
      </c>
      <c r="U349" s="25">
        <f t="shared" si="6"/>
        <v>54026</v>
      </c>
      <c r="V349" s="24">
        <f>SUMIFS(Expense_Tracker_Table[Amount Spent],Expense_Tracker_Table[Expense Date],"&gt;="&amp;T349,Expense_Tracker_Table[Expense Date],"&lt;="&amp;U349)</f>
        <v>0</v>
      </c>
    </row>
    <row r="350" spans="20:22" x14ac:dyDescent="0.3">
      <c r="T350" s="25">
        <v>54027</v>
      </c>
      <c r="U350" s="25">
        <f t="shared" si="6"/>
        <v>54057</v>
      </c>
      <c r="V350" s="24">
        <f>SUMIFS(Expense_Tracker_Table[Amount Spent],Expense_Tracker_Table[Expense Date],"&gt;="&amp;T350,Expense_Tracker_Table[Expense Date],"&lt;="&amp;U350)</f>
        <v>0</v>
      </c>
    </row>
    <row r="351" spans="20:22" x14ac:dyDescent="0.3">
      <c r="T351" s="25">
        <v>54058</v>
      </c>
      <c r="U351" s="25">
        <f t="shared" si="6"/>
        <v>54088</v>
      </c>
      <c r="V351" s="24">
        <f>SUMIFS(Expense_Tracker_Table[Amount Spent],Expense_Tracker_Table[Expense Date],"&gt;="&amp;T351,Expense_Tracker_Table[Expense Date],"&lt;="&amp;U351)</f>
        <v>0</v>
      </c>
    </row>
    <row r="352" spans="20:22" x14ac:dyDescent="0.3">
      <c r="T352" s="25">
        <v>54089</v>
      </c>
      <c r="U352" s="25">
        <f t="shared" si="6"/>
        <v>54117</v>
      </c>
      <c r="V352" s="24">
        <f>SUMIFS(Expense_Tracker_Table[Amount Spent],Expense_Tracker_Table[Expense Date],"&gt;="&amp;T352,Expense_Tracker_Table[Expense Date],"&lt;="&amp;U352)</f>
        <v>0</v>
      </c>
    </row>
    <row r="353" spans="20:22" x14ac:dyDescent="0.3">
      <c r="T353" s="25">
        <v>54118</v>
      </c>
      <c r="U353" s="25">
        <f t="shared" si="6"/>
        <v>54148</v>
      </c>
      <c r="V353" s="24">
        <f>SUMIFS(Expense_Tracker_Table[Amount Spent],Expense_Tracker_Table[Expense Date],"&gt;="&amp;T353,Expense_Tracker_Table[Expense Date],"&lt;="&amp;U353)</f>
        <v>0</v>
      </c>
    </row>
    <row r="354" spans="20:22" x14ac:dyDescent="0.3">
      <c r="T354" s="25">
        <v>54149</v>
      </c>
      <c r="U354" s="25">
        <f t="shared" si="6"/>
        <v>54178</v>
      </c>
      <c r="V354" s="24">
        <f>SUMIFS(Expense_Tracker_Table[Amount Spent],Expense_Tracker_Table[Expense Date],"&gt;="&amp;T354,Expense_Tracker_Table[Expense Date],"&lt;="&amp;U354)</f>
        <v>0</v>
      </c>
    </row>
    <row r="355" spans="20:22" x14ac:dyDescent="0.3">
      <c r="T355" s="25">
        <v>54179</v>
      </c>
      <c r="U355" s="25">
        <f t="shared" si="6"/>
        <v>54209</v>
      </c>
      <c r="V355" s="24">
        <f>SUMIFS(Expense_Tracker_Table[Amount Spent],Expense_Tracker_Table[Expense Date],"&gt;="&amp;T355,Expense_Tracker_Table[Expense Date],"&lt;="&amp;U355)</f>
        <v>0</v>
      </c>
    </row>
    <row r="356" spans="20:22" x14ac:dyDescent="0.3">
      <c r="T356" s="25">
        <v>54210</v>
      </c>
      <c r="U356" s="25">
        <f t="shared" si="6"/>
        <v>54239</v>
      </c>
      <c r="V356" s="24">
        <f>SUMIFS(Expense_Tracker_Table[Amount Spent],Expense_Tracker_Table[Expense Date],"&gt;="&amp;T356,Expense_Tracker_Table[Expense Date],"&lt;="&amp;U356)</f>
        <v>0</v>
      </c>
    </row>
    <row r="357" spans="20:22" x14ac:dyDescent="0.3">
      <c r="T357" s="25">
        <v>54240</v>
      </c>
      <c r="U357" s="25">
        <f t="shared" si="6"/>
        <v>54270</v>
      </c>
      <c r="V357" s="24">
        <f>SUMIFS(Expense_Tracker_Table[Amount Spent],Expense_Tracker_Table[Expense Date],"&gt;="&amp;T357,Expense_Tracker_Table[Expense Date],"&lt;="&amp;U357)</f>
        <v>0</v>
      </c>
    </row>
    <row r="358" spans="20:22" x14ac:dyDescent="0.3">
      <c r="T358" s="25">
        <v>54271</v>
      </c>
      <c r="U358" s="25">
        <f t="shared" si="6"/>
        <v>54301</v>
      </c>
      <c r="V358" s="24">
        <f>SUMIFS(Expense_Tracker_Table[Amount Spent],Expense_Tracker_Table[Expense Date],"&gt;="&amp;T358,Expense_Tracker_Table[Expense Date],"&lt;="&amp;U358)</f>
        <v>0</v>
      </c>
    </row>
    <row r="359" spans="20:22" x14ac:dyDescent="0.3">
      <c r="T359" s="25">
        <v>54302</v>
      </c>
      <c r="U359" s="25">
        <f t="shared" si="6"/>
        <v>54331</v>
      </c>
      <c r="V359" s="24">
        <f>SUMIFS(Expense_Tracker_Table[Amount Spent],Expense_Tracker_Table[Expense Date],"&gt;="&amp;T359,Expense_Tracker_Table[Expense Date],"&lt;="&amp;U359)</f>
        <v>0</v>
      </c>
    </row>
    <row r="360" spans="20:22" x14ac:dyDescent="0.3">
      <c r="T360" s="25">
        <v>54332</v>
      </c>
      <c r="U360" s="25">
        <f t="shared" si="6"/>
        <v>54362</v>
      </c>
      <c r="V360" s="24">
        <f>SUMIFS(Expense_Tracker_Table[Amount Spent],Expense_Tracker_Table[Expense Date],"&gt;="&amp;T360,Expense_Tracker_Table[Expense Date],"&lt;="&amp;U360)</f>
        <v>0</v>
      </c>
    </row>
    <row r="361" spans="20:22" x14ac:dyDescent="0.3">
      <c r="T361" s="25">
        <v>54363</v>
      </c>
      <c r="U361" s="25">
        <f t="shared" si="6"/>
        <v>54392</v>
      </c>
      <c r="V361" s="24">
        <f>SUMIFS(Expense_Tracker_Table[Amount Spent],Expense_Tracker_Table[Expense Date],"&gt;="&amp;T361,Expense_Tracker_Table[Expense Date],"&lt;="&amp;U361)</f>
        <v>0</v>
      </c>
    </row>
    <row r="362" spans="20:22" x14ac:dyDescent="0.3">
      <c r="T362" s="25">
        <v>54393</v>
      </c>
      <c r="U362" s="25">
        <f t="shared" si="6"/>
        <v>54423</v>
      </c>
      <c r="V362" s="24">
        <f>SUMIFS(Expense_Tracker_Table[Amount Spent],Expense_Tracker_Table[Expense Date],"&gt;="&amp;T362,Expense_Tracker_Table[Expense Date],"&lt;="&amp;U362)</f>
        <v>0</v>
      </c>
    </row>
    <row r="363" spans="20:22" x14ac:dyDescent="0.3">
      <c r="T363" s="25">
        <v>54424</v>
      </c>
      <c r="U363" s="25">
        <f t="shared" si="6"/>
        <v>54454</v>
      </c>
      <c r="V363" s="24">
        <f>SUMIFS(Expense_Tracker_Table[Amount Spent],Expense_Tracker_Table[Expense Date],"&gt;="&amp;T363,Expense_Tracker_Table[Expense Date],"&lt;="&amp;U363)</f>
        <v>0</v>
      </c>
    </row>
    <row r="364" spans="20:22" x14ac:dyDescent="0.3">
      <c r="T364" s="25">
        <v>54455</v>
      </c>
      <c r="U364" s="25">
        <f t="shared" si="6"/>
        <v>54482</v>
      </c>
      <c r="V364" s="24">
        <f>SUMIFS(Expense_Tracker_Table[Amount Spent],Expense_Tracker_Table[Expense Date],"&gt;="&amp;T364,Expense_Tracker_Table[Expense Date],"&lt;="&amp;U364)</f>
        <v>0</v>
      </c>
    </row>
    <row r="365" spans="20:22" x14ac:dyDescent="0.3">
      <c r="T365" s="25">
        <v>54483</v>
      </c>
      <c r="U365" s="25">
        <f t="shared" si="6"/>
        <v>54513</v>
      </c>
      <c r="V365" s="24">
        <f>SUMIFS(Expense_Tracker_Table[Amount Spent],Expense_Tracker_Table[Expense Date],"&gt;="&amp;T365,Expense_Tracker_Table[Expense Date],"&lt;="&amp;U365)</f>
        <v>0</v>
      </c>
    </row>
    <row r="366" spans="20:22" x14ac:dyDescent="0.3">
      <c r="T366" s="25">
        <v>54514</v>
      </c>
      <c r="U366" s="25">
        <f t="shared" si="6"/>
        <v>54543</v>
      </c>
      <c r="V366" s="24">
        <f>SUMIFS(Expense_Tracker_Table[Amount Spent],Expense_Tracker_Table[Expense Date],"&gt;="&amp;T366,Expense_Tracker_Table[Expense Date],"&lt;="&amp;U366)</f>
        <v>0</v>
      </c>
    </row>
    <row r="367" spans="20:22" x14ac:dyDescent="0.3">
      <c r="T367" s="25">
        <v>54544</v>
      </c>
      <c r="U367" s="25">
        <f t="shared" si="6"/>
        <v>54574</v>
      </c>
      <c r="V367" s="24">
        <f>SUMIFS(Expense_Tracker_Table[Amount Spent],Expense_Tracker_Table[Expense Date],"&gt;="&amp;T367,Expense_Tracker_Table[Expense Date],"&lt;="&amp;U367)</f>
        <v>0</v>
      </c>
    </row>
    <row r="368" spans="20:22" x14ac:dyDescent="0.3">
      <c r="T368" s="25">
        <v>54575</v>
      </c>
      <c r="U368" s="25">
        <f t="shared" si="6"/>
        <v>54604</v>
      </c>
      <c r="V368" s="24">
        <f>SUMIFS(Expense_Tracker_Table[Amount Spent],Expense_Tracker_Table[Expense Date],"&gt;="&amp;T368,Expense_Tracker_Table[Expense Date],"&lt;="&amp;U368)</f>
        <v>0</v>
      </c>
    </row>
    <row r="369" spans="20:22" x14ac:dyDescent="0.3">
      <c r="T369" s="25">
        <v>54605</v>
      </c>
      <c r="U369" s="25">
        <f t="shared" si="6"/>
        <v>54635</v>
      </c>
      <c r="V369" s="24">
        <f>SUMIFS(Expense_Tracker_Table[Amount Spent],Expense_Tracker_Table[Expense Date],"&gt;="&amp;T369,Expense_Tracker_Table[Expense Date],"&lt;="&amp;U369)</f>
        <v>0</v>
      </c>
    </row>
    <row r="370" spans="20:22" x14ac:dyDescent="0.3">
      <c r="T370" s="25">
        <v>54636</v>
      </c>
      <c r="U370" s="25">
        <f t="shared" si="6"/>
        <v>54666</v>
      </c>
      <c r="V370" s="24">
        <f>SUMIFS(Expense_Tracker_Table[Amount Spent],Expense_Tracker_Table[Expense Date],"&gt;="&amp;T370,Expense_Tracker_Table[Expense Date],"&lt;="&amp;U370)</f>
        <v>0</v>
      </c>
    </row>
    <row r="371" spans="20:22" x14ac:dyDescent="0.3">
      <c r="T371" s="25">
        <v>54667</v>
      </c>
      <c r="U371" s="25">
        <f t="shared" si="6"/>
        <v>54696</v>
      </c>
      <c r="V371" s="24">
        <f>SUMIFS(Expense_Tracker_Table[Amount Spent],Expense_Tracker_Table[Expense Date],"&gt;="&amp;T371,Expense_Tracker_Table[Expense Date],"&lt;="&amp;U371)</f>
        <v>0</v>
      </c>
    </row>
    <row r="372" spans="20:22" x14ac:dyDescent="0.3">
      <c r="T372" s="25">
        <v>54697</v>
      </c>
      <c r="U372" s="25">
        <f t="shared" si="6"/>
        <v>54727</v>
      </c>
      <c r="V372" s="24">
        <f>SUMIFS(Expense_Tracker_Table[Amount Spent],Expense_Tracker_Table[Expense Date],"&gt;="&amp;T372,Expense_Tracker_Table[Expense Date],"&lt;="&amp;U372)</f>
        <v>0</v>
      </c>
    </row>
    <row r="373" spans="20:22" x14ac:dyDescent="0.3">
      <c r="T373" s="25">
        <v>54728</v>
      </c>
      <c r="U373" s="25">
        <f t="shared" si="6"/>
        <v>54757</v>
      </c>
      <c r="V373" s="24">
        <f>SUMIFS(Expense_Tracker_Table[Amount Spent],Expense_Tracker_Table[Expense Date],"&gt;="&amp;T373,Expense_Tracker_Table[Expense Date],"&lt;="&amp;U373)</f>
        <v>0</v>
      </c>
    </row>
    <row r="374" spans="20:22" x14ac:dyDescent="0.3">
      <c r="T374" s="25">
        <v>54758</v>
      </c>
      <c r="U374" s="25">
        <f t="shared" si="6"/>
        <v>54788</v>
      </c>
      <c r="V374" s="24">
        <f>SUMIFS(Expense_Tracker_Table[Amount Spent],Expense_Tracker_Table[Expense Date],"&gt;="&amp;T374,Expense_Tracker_Table[Expense Date],"&lt;="&amp;U374)</f>
        <v>0</v>
      </c>
    </row>
    <row r="375" spans="20:22" x14ac:dyDescent="0.3">
      <c r="T375" s="25">
        <v>54789</v>
      </c>
      <c r="U375" s="25">
        <f t="shared" si="6"/>
        <v>54819</v>
      </c>
      <c r="V375" s="24">
        <f>SUMIFS(Expense_Tracker_Table[Amount Spent],Expense_Tracker_Table[Expense Date],"&gt;="&amp;T375,Expense_Tracker_Table[Expense Date],"&lt;="&amp;U375)</f>
        <v>0</v>
      </c>
    </row>
    <row r="376" spans="20:22" x14ac:dyDescent="0.3">
      <c r="T376" s="25">
        <v>54820</v>
      </c>
      <c r="U376" s="25">
        <f t="shared" si="6"/>
        <v>54847</v>
      </c>
      <c r="V376" s="24">
        <f>SUMIFS(Expense_Tracker_Table[Amount Spent],Expense_Tracker_Table[Expense Date],"&gt;="&amp;T376,Expense_Tracker_Table[Expense Date],"&lt;="&amp;U376)</f>
        <v>0</v>
      </c>
    </row>
    <row r="377" spans="20:22" x14ac:dyDescent="0.3">
      <c r="T377" s="25">
        <v>54848</v>
      </c>
      <c r="U377" s="25">
        <f t="shared" si="6"/>
        <v>54878</v>
      </c>
      <c r="V377" s="24">
        <f>SUMIFS(Expense_Tracker_Table[Amount Spent],Expense_Tracker_Table[Expense Date],"&gt;="&amp;T377,Expense_Tracker_Table[Expense Date],"&lt;="&amp;U377)</f>
        <v>0</v>
      </c>
    </row>
    <row r="378" spans="20:22" x14ac:dyDescent="0.3">
      <c r="T378" s="25">
        <v>54879</v>
      </c>
      <c r="U378" s="25">
        <f t="shared" si="6"/>
        <v>54908</v>
      </c>
      <c r="V378" s="24">
        <f>SUMIFS(Expense_Tracker_Table[Amount Spent],Expense_Tracker_Table[Expense Date],"&gt;="&amp;T378,Expense_Tracker_Table[Expense Date],"&lt;="&amp;U378)</f>
        <v>0</v>
      </c>
    </row>
    <row r="379" spans="20:22" x14ac:dyDescent="0.3">
      <c r="T379" s="25">
        <v>54909</v>
      </c>
      <c r="U379" s="25">
        <f t="shared" si="6"/>
        <v>54939</v>
      </c>
      <c r="V379" s="24">
        <f>SUMIFS(Expense_Tracker_Table[Amount Spent],Expense_Tracker_Table[Expense Date],"&gt;="&amp;T379,Expense_Tracker_Table[Expense Date],"&lt;="&amp;U379)</f>
        <v>0</v>
      </c>
    </row>
    <row r="380" spans="20:22" x14ac:dyDescent="0.3">
      <c r="T380" s="25">
        <v>54940</v>
      </c>
      <c r="U380" s="25">
        <f t="shared" si="6"/>
        <v>54969</v>
      </c>
      <c r="V380" s="24">
        <f>SUMIFS(Expense_Tracker_Table[Amount Spent],Expense_Tracker_Table[Expense Date],"&gt;="&amp;T380,Expense_Tracker_Table[Expense Date],"&lt;="&amp;U380)</f>
        <v>0</v>
      </c>
    </row>
    <row r="381" spans="20:22" x14ac:dyDescent="0.3">
      <c r="T381" s="25">
        <v>54970</v>
      </c>
      <c r="U381" s="25">
        <f t="shared" si="6"/>
        <v>55000</v>
      </c>
      <c r="V381" s="24">
        <f>SUMIFS(Expense_Tracker_Table[Amount Spent],Expense_Tracker_Table[Expense Date],"&gt;="&amp;T381,Expense_Tracker_Table[Expense Date],"&lt;="&amp;U381)</f>
        <v>0</v>
      </c>
    </row>
    <row r="382" spans="20:22" x14ac:dyDescent="0.3">
      <c r="T382" s="25">
        <v>55001</v>
      </c>
      <c r="U382" s="25">
        <f t="shared" si="6"/>
        <v>55031</v>
      </c>
      <c r="V382" s="24">
        <f>SUMIFS(Expense_Tracker_Table[Amount Spent],Expense_Tracker_Table[Expense Date],"&gt;="&amp;T382,Expense_Tracker_Table[Expense Date],"&lt;="&amp;U382)</f>
        <v>0</v>
      </c>
    </row>
    <row r="383" spans="20:22" x14ac:dyDescent="0.3">
      <c r="T383" s="25">
        <v>55032</v>
      </c>
      <c r="U383" s="25">
        <f t="shared" si="6"/>
        <v>55061</v>
      </c>
      <c r="V383" s="24">
        <f>SUMIFS(Expense_Tracker_Table[Amount Spent],Expense_Tracker_Table[Expense Date],"&gt;="&amp;T383,Expense_Tracker_Table[Expense Date],"&lt;="&amp;U383)</f>
        <v>0</v>
      </c>
    </row>
    <row r="384" spans="20:22" x14ac:dyDescent="0.3">
      <c r="T384" s="25">
        <v>55062</v>
      </c>
      <c r="U384" s="25">
        <f t="shared" si="6"/>
        <v>55092</v>
      </c>
      <c r="V384" s="24">
        <f>SUMIFS(Expense_Tracker_Table[Amount Spent],Expense_Tracker_Table[Expense Date],"&gt;="&amp;T384,Expense_Tracker_Table[Expense Date],"&lt;="&amp;U384)</f>
        <v>0</v>
      </c>
    </row>
    <row r="385" spans="20:22" x14ac:dyDescent="0.3">
      <c r="T385" s="25">
        <v>55093</v>
      </c>
      <c r="U385" s="25">
        <f t="shared" si="6"/>
        <v>55122</v>
      </c>
      <c r="V385" s="24">
        <f>SUMIFS(Expense_Tracker_Table[Amount Spent],Expense_Tracker_Table[Expense Date],"&gt;="&amp;T385,Expense_Tracker_Table[Expense Date],"&lt;="&amp;U385)</f>
        <v>0</v>
      </c>
    </row>
    <row r="386" spans="20:22" x14ac:dyDescent="0.3">
      <c r="T386" s="25">
        <v>55123</v>
      </c>
      <c r="U386" s="25">
        <f t="shared" si="6"/>
        <v>55153</v>
      </c>
      <c r="V386" s="24">
        <f>SUMIFS(Expense_Tracker_Table[Amount Spent],Expense_Tracker_Table[Expense Date],"&gt;="&amp;T386,Expense_Tracker_Table[Expense Date],"&lt;="&amp;U386)</f>
        <v>0</v>
      </c>
    </row>
    <row r="387" spans="20:22" x14ac:dyDescent="0.3">
      <c r="T387" s="25">
        <v>55154</v>
      </c>
      <c r="U387" s="25">
        <f t="shared" si="6"/>
        <v>55184</v>
      </c>
      <c r="V387" s="24">
        <f>SUMIFS(Expense_Tracker_Table[Amount Spent],Expense_Tracker_Table[Expense Date],"&gt;="&amp;T387,Expense_Tracker_Table[Expense Date],"&lt;="&amp;U387)</f>
        <v>0</v>
      </c>
    </row>
    <row r="388" spans="20:22" x14ac:dyDescent="0.3">
      <c r="T388" s="25">
        <v>55185</v>
      </c>
      <c r="U388" s="25">
        <f t="shared" si="6"/>
        <v>55212</v>
      </c>
      <c r="V388" s="24">
        <f>SUMIFS(Expense_Tracker_Table[Amount Spent],Expense_Tracker_Table[Expense Date],"&gt;="&amp;T388,Expense_Tracker_Table[Expense Date],"&lt;="&amp;U388)</f>
        <v>0</v>
      </c>
    </row>
    <row r="389" spans="20:22" x14ac:dyDescent="0.3">
      <c r="T389" s="25">
        <v>55213</v>
      </c>
      <c r="U389" s="25">
        <f t="shared" si="6"/>
        <v>55243</v>
      </c>
      <c r="V389" s="24">
        <f>SUMIFS(Expense_Tracker_Table[Amount Spent],Expense_Tracker_Table[Expense Date],"&gt;="&amp;T389,Expense_Tracker_Table[Expense Date],"&lt;="&amp;U389)</f>
        <v>0</v>
      </c>
    </row>
    <row r="390" spans="20:22" x14ac:dyDescent="0.3">
      <c r="T390" s="25">
        <v>55244</v>
      </c>
      <c r="U390" s="25">
        <f t="shared" si="6"/>
        <v>55273</v>
      </c>
      <c r="V390" s="24">
        <f>SUMIFS(Expense_Tracker_Table[Amount Spent],Expense_Tracker_Table[Expense Date],"&gt;="&amp;T390,Expense_Tracker_Table[Expense Date],"&lt;="&amp;U390)</f>
        <v>0</v>
      </c>
    </row>
    <row r="391" spans="20:22" x14ac:dyDescent="0.3">
      <c r="T391" s="25">
        <v>55274</v>
      </c>
      <c r="U391" s="25">
        <f t="shared" si="6"/>
        <v>55304</v>
      </c>
      <c r="V391" s="24">
        <f>SUMIFS(Expense_Tracker_Table[Amount Spent],Expense_Tracker_Table[Expense Date],"&gt;="&amp;T391,Expense_Tracker_Table[Expense Date],"&lt;="&amp;U391)</f>
        <v>0</v>
      </c>
    </row>
    <row r="392" spans="20:22" x14ac:dyDescent="0.3">
      <c r="T392" s="25">
        <v>55305</v>
      </c>
      <c r="U392" s="25">
        <f t="shared" si="6"/>
        <v>55334</v>
      </c>
      <c r="V392" s="24">
        <f>SUMIFS(Expense_Tracker_Table[Amount Spent],Expense_Tracker_Table[Expense Date],"&gt;="&amp;T392,Expense_Tracker_Table[Expense Date],"&lt;="&amp;U392)</f>
        <v>0</v>
      </c>
    </row>
    <row r="393" spans="20:22" x14ac:dyDescent="0.3">
      <c r="T393" s="25">
        <v>55335</v>
      </c>
      <c r="U393" s="25">
        <f t="shared" ref="U393:U456" si="7">EOMONTH(T393,0)</f>
        <v>55365</v>
      </c>
      <c r="V393" s="24">
        <f>SUMIFS(Expense_Tracker_Table[Amount Spent],Expense_Tracker_Table[Expense Date],"&gt;="&amp;T393,Expense_Tracker_Table[Expense Date],"&lt;="&amp;U393)</f>
        <v>0</v>
      </c>
    </row>
    <row r="394" spans="20:22" x14ac:dyDescent="0.3">
      <c r="T394" s="25">
        <v>55366</v>
      </c>
      <c r="U394" s="25">
        <f t="shared" si="7"/>
        <v>55396</v>
      </c>
      <c r="V394" s="24">
        <f>SUMIFS(Expense_Tracker_Table[Amount Spent],Expense_Tracker_Table[Expense Date],"&gt;="&amp;T394,Expense_Tracker_Table[Expense Date],"&lt;="&amp;U394)</f>
        <v>0</v>
      </c>
    </row>
    <row r="395" spans="20:22" x14ac:dyDescent="0.3">
      <c r="T395" s="25">
        <v>55397</v>
      </c>
      <c r="U395" s="25">
        <f t="shared" si="7"/>
        <v>55426</v>
      </c>
      <c r="V395" s="24">
        <f>SUMIFS(Expense_Tracker_Table[Amount Spent],Expense_Tracker_Table[Expense Date],"&gt;="&amp;T395,Expense_Tracker_Table[Expense Date],"&lt;="&amp;U395)</f>
        <v>0</v>
      </c>
    </row>
    <row r="396" spans="20:22" x14ac:dyDescent="0.3">
      <c r="T396" s="25">
        <v>55427</v>
      </c>
      <c r="U396" s="25">
        <f t="shared" si="7"/>
        <v>55457</v>
      </c>
      <c r="V396" s="24">
        <f>SUMIFS(Expense_Tracker_Table[Amount Spent],Expense_Tracker_Table[Expense Date],"&gt;="&amp;T396,Expense_Tracker_Table[Expense Date],"&lt;="&amp;U396)</f>
        <v>0</v>
      </c>
    </row>
    <row r="397" spans="20:22" x14ac:dyDescent="0.3">
      <c r="T397" s="25">
        <v>55458</v>
      </c>
      <c r="U397" s="25">
        <f t="shared" si="7"/>
        <v>55487</v>
      </c>
      <c r="V397" s="24">
        <f>SUMIFS(Expense_Tracker_Table[Amount Spent],Expense_Tracker_Table[Expense Date],"&gt;="&amp;T397,Expense_Tracker_Table[Expense Date],"&lt;="&amp;U397)</f>
        <v>0</v>
      </c>
    </row>
    <row r="398" spans="20:22" x14ac:dyDescent="0.3">
      <c r="T398" s="25">
        <v>55488</v>
      </c>
      <c r="U398" s="25">
        <f t="shared" si="7"/>
        <v>55518</v>
      </c>
      <c r="V398" s="24">
        <f>SUMIFS(Expense_Tracker_Table[Amount Spent],Expense_Tracker_Table[Expense Date],"&gt;="&amp;T398,Expense_Tracker_Table[Expense Date],"&lt;="&amp;U398)</f>
        <v>0</v>
      </c>
    </row>
    <row r="399" spans="20:22" x14ac:dyDescent="0.3">
      <c r="T399" s="25">
        <v>55519</v>
      </c>
      <c r="U399" s="25">
        <f t="shared" si="7"/>
        <v>55549</v>
      </c>
      <c r="V399" s="24">
        <f>SUMIFS(Expense_Tracker_Table[Amount Spent],Expense_Tracker_Table[Expense Date],"&gt;="&amp;T399,Expense_Tracker_Table[Expense Date],"&lt;="&amp;U399)</f>
        <v>0</v>
      </c>
    </row>
    <row r="400" spans="20:22" x14ac:dyDescent="0.3">
      <c r="T400" s="25">
        <v>55550</v>
      </c>
      <c r="U400" s="25">
        <f t="shared" si="7"/>
        <v>55578</v>
      </c>
      <c r="V400" s="24">
        <f>SUMIFS(Expense_Tracker_Table[Amount Spent],Expense_Tracker_Table[Expense Date],"&gt;="&amp;T400,Expense_Tracker_Table[Expense Date],"&lt;="&amp;U400)</f>
        <v>0</v>
      </c>
    </row>
    <row r="401" spans="20:22" x14ac:dyDescent="0.3">
      <c r="T401" s="25">
        <v>55579</v>
      </c>
      <c r="U401" s="25">
        <f t="shared" si="7"/>
        <v>55609</v>
      </c>
      <c r="V401" s="24">
        <f>SUMIFS(Expense_Tracker_Table[Amount Spent],Expense_Tracker_Table[Expense Date],"&gt;="&amp;T401,Expense_Tracker_Table[Expense Date],"&lt;="&amp;U401)</f>
        <v>0</v>
      </c>
    </row>
    <row r="402" spans="20:22" x14ac:dyDescent="0.3">
      <c r="T402" s="25">
        <v>55610</v>
      </c>
      <c r="U402" s="25">
        <f t="shared" si="7"/>
        <v>55639</v>
      </c>
      <c r="V402" s="24">
        <f>SUMIFS(Expense_Tracker_Table[Amount Spent],Expense_Tracker_Table[Expense Date],"&gt;="&amp;T402,Expense_Tracker_Table[Expense Date],"&lt;="&amp;U402)</f>
        <v>0</v>
      </c>
    </row>
    <row r="403" spans="20:22" x14ac:dyDescent="0.3">
      <c r="T403" s="25">
        <v>55640</v>
      </c>
      <c r="U403" s="25">
        <f t="shared" si="7"/>
        <v>55670</v>
      </c>
      <c r="V403" s="24">
        <f>SUMIFS(Expense_Tracker_Table[Amount Spent],Expense_Tracker_Table[Expense Date],"&gt;="&amp;T403,Expense_Tracker_Table[Expense Date],"&lt;="&amp;U403)</f>
        <v>0</v>
      </c>
    </row>
    <row r="404" spans="20:22" x14ac:dyDescent="0.3">
      <c r="T404" s="25">
        <v>55671</v>
      </c>
      <c r="U404" s="25">
        <f t="shared" si="7"/>
        <v>55700</v>
      </c>
      <c r="V404" s="24">
        <f>SUMIFS(Expense_Tracker_Table[Amount Spent],Expense_Tracker_Table[Expense Date],"&gt;="&amp;T404,Expense_Tracker_Table[Expense Date],"&lt;="&amp;U404)</f>
        <v>0</v>
      </c>
    </row>
    <row r="405" spans="20:22" x14ac:dyDescent="0.3">
      <c r="T405" s="25">
        <v>55701</v>
      </c>
      <c r="U405" s="25">
        <f t="shared" si="7"/>
        <v>55731</v>
      </c>
      <c r="V405" s="24">
        <f>SUMIFS(Expense_Tracker_Table[Amount Spent],Expense_Tracker_Table[Expense Date],"&gt;="&amp;T405,Expense_Tracker_Table[Expense Date],"&lt;="&amp;U405)</f>
        <v>0</v>
      </c>
    </row>
    <row r="406" spans="20:22" x14ac:dyDescent="0.3">
      <c r="T406" s="25">
        <v>55732</v>
      </c>
      <c r="U406" s="25">
        <f t="shared" si="7"/>
        <v>55762</v>
      </c>
      <c r="V406" s="24">
        <f>SUMIFS(Expense_Tracker_Table[Amount Spent],Expense_Tracker_Table[Expense Date],"&gt;="&amp;T406,Expense_Tracker_Table[Expense Date],"&lt;="&amp;U406)</f>
        <v>0</v>
      </c>
    </row>
    <row r="407" spans="20:22" x14ac:dyDescent="0.3">
      <c r="T407" s="25">
        <v>55763</v>
      </c>
      <c r="U407" s="25">
        <f t="shared" si="7"/>
        <v>55792</v>
      </c>
      <c r="V407" s="24">
        <f>SUMIFS(Expense_Tracker_Table[Amount Spent],Expense_Tracker_Table[Expense Date],"&gt;="&amp;T407,Expense_Tracker_Table[Expense Date],"&lt;="&amp;U407)</f>
        <v>0</v>
      </c>
    </row>
    <row r="408" spans="20:22" x14ac:dyDescent="0.3">
      <c r="T408" s="25">
        <v>55793</v>
      </c>
      <c r="U408" s="25">
        <f t="shared" si="7"/>
        <v>55823</v>
      </c>
      <c r="V408" s="24">
        <f>SUMIFS(Expense_Tracker_Table[Amount Spent],Expense_Tracker_Table[Expense Date],"&gt;="&amp;T408,Expense_Tracker_Table[Expense Date],"&lt;="&amp;U408)</f>
        <v>0</v>
      </c>
    </row>
    <row r="409" spans="20:22" x14ac:dyDescent="0.3">
      <c r="T409" s="25">
        <v>55824</v>
      </c>
      <c r="U409" s="25">
        <f t="shared" si="7"/>
        <v>55853</v>
      </c>
      <c r="V409" s="24">
        <f>SUMIFS(Expense_Tracker_Table[Amount Spent],Expense_Tracker_Table[Expense Date],"&gt;="&amp;T409,Expense_Tracker_Table[Expense Date],"&lt;="&amp;U409)</f>
        <v>0</v>
      </c>
    </row>
    <row r="410" spans="20:22" x14ac:dyDescent="0.3">
      <c r="T410" s="25">
        <v>55854</v>
      </c>
      <c r="U410" s="25">
        <f t="shared" si="7"/>
        <v>55884</v>
      </c>
      <c r="V410" s="24">
        <f>SUMIFS(Expense_Tracker_Table[Amount Spent],Expense_Tracker_Table[Expense Date],"&gt;="&amp;T410,Expense_Tracker_Table[Expense Date],"&lt;="&amp;U410)</f>
        <v>0</v>
      </c>
    </row>
    <row r="411" spans="20:22" x14ac:dyDescent="0.3">
      <c r="T411" s="25">
        <v>55885</v>
      </c>
      <c r="U411" s="25">
        <f t="shared" si="7"/>
        <v>55915</v>
      </c>
      <c r="V411" s="24">
        <f>SUMIFS(Expense_Tracker_Table[Amount Spent],Expense_Tracker_Table[Expense Date],"&gt;="&amp;T411,Expense_Tracker_Table[Expense Date],"&lt;="&amp;U411)</f>
        <v>0</v>
      </c>
    </row>
    <row r="412" spans="20:22" x14ac:dyDescent="0.3">
      <c r="T412" s="25">
        <v>55916</v>
      </c>
      <c r="U412" s="25">
        <f t="shared" si="7"/>
        <v>55943</v>
      </c>
      <c r="V412" s="24">
        <f>SUMIFS(Expense_Tracker_Table[Amount Spent],Expense_Tracker_Table[Expense Date],"&gt;="&amp;T412,Expense_Tracker_Table[Expense Date],"&lt;="&amp;U412)</f>
        <v>0</v>
      </c>
    </row>
    <row r="413" spans="20:22" x14ac:dyDescent="0.3">
      <c r="T413" s="25">
        <v>55944</v>
      </c>
      <c r="U413" s="25">
        <f t="shared" si="7"/>
        <v>55974</v>
      </c>
      <c r="V413" s="24">
        <f>SUMIFS(Expense_Tracker_Table[Amount Spent],Expense_Tracker_Table[Expense Date],"&gt;="&amp;T413,Expense_Tracker_Table[Expense Date],"&lt;="&amp;U413)</f>
        <v>0</v>
      </c>
    </row>
    <row r="414" spans="20:22" x14ac:dyDescent="0.3">
      <c r="T414" s="25">
        <v>55975</v>
      </c>
      <c r="U414" s="25">
        <f t="shared" si="7"/>
        <v>56004</v>
      </c>
      <c r="V414" s="24">
        <f>SUMIFS(Expense_Tracker_Table[Amount Spent],Expense_Tracker_Table[Expense Date],"&gt;="&amp;T414,Expense_Tracker_Table[Expense Date],"&lt;="&amp;U414)</f>
        <v>0</v>
      </c>
    </row>
    <row r="415" spans="20:22" x14ac:dyDescent="0.3">
      <c r="T415" s="25">
        <v>56005</v>
      </c>
      <c r="U415" s="25">
        <f t="shared" si="7"/>
        <v>56035</v>
      </c>
      <c r="V415" s="24">
        <f>SUMIFS(Expense_Tracker_Table[Amount Spent],Expense_Tracker_Table[Expense Date],"&gt;="&amp;T415,Expense_Tracker_Table[Expense Date],"&lt;="&amp;U415)</f>
        <v>0</v>
      </c>
    </row>
    <row r="416" spans="20:22" x14ac:dyDescent="0.3">
      <c r="T416" s="25">
        <v>56036</v>
      </c>
      <c r="U416" s="25">
        <f t="shared" si="7"/>
        <v>56065</v>
      </c>
      <c r="V416" s="24">
        <f>SUMIFS(Expense_Tracker_Table[Amount Spent],Expense_Tracker_Table[Expense Date],"&gt;="&amp;T416,Expense_Tracker_Table[Expense Date],"&lt;="&amp;U416)</f>
        <v>0</v>
      </c>
    </row>
    <row r="417" spans="20:22" x14ac:dyDescent="0.3">
      <c r="T417" s="25">
        <v>56066</v>
      </c>
      <c r="U417" s="25">
        <f t="shared" si="7"/>
        <v>56096</v>
      </c>
      <c r="V417" s="24">
        <f>SUMIFS(Expense_Tracker_Table[Amount Spent],Expense_Tracker_Table[Expense Date],"&gt;="&amp;T417,Expense_Tracker_Table[Expense Date],"&lt;="&amp;U417)</f>
        <v>0</v>
      </c>
    </row>
    <row r="418" spans="20:22" x14ac:dyDescent="0.3">
      <c r="T418" s="25">
        <v>56097</v>
      </c>
      <c r="U418" s="25">
        <f t="shared" si="7"/>
        <v>56127</v>
      </c>
      <c r="V418" s="24">
        <f>SUMIFS(Expense_Tracker_Table[Amount Spent],Expense_Tracker_Table[Expense Date],"&gt;="&amp;T418,Expense_Tracker_Table[Expense Date],"&lt;="&amp;U418)</f>
        <v>0</v>
      </c>
    </row>
    <row r="419" spans="20:22" x14ac:dyDescent="0.3">
      <c r="T419" s="25">
        <v>56128</v>
      </c>
      <c r="U419" s="25">
        <f t="shared" si="7"/>
        <v>56157</v>
      </c>
      <c r="V419" s="24">
        <f>SUMIFS(Expense_Tracker_Table[Amount Spent],Expense_Tracker_Table[Expense Date],"&gt;="&amp;T419,Expense_Tracker_Table[Expense Date],"&lt;="&amp;U419)</f>
        <v>0</v>
      </c>
    </row>
    <row r="420" spans="20:22" x14ac:dyDescent="0.3">
      <c r="T420" s="25">
        <v>56158</v>
      </c>
      <c r="U420" s="25">
        <f t="shared" si="7"/>
        <v>56188</v>
      </c>
      <c r="V420" s="24">
        <f>SUMIFS(Expense_Tracker_Table[Amount Spent],Expense_Tracker_Table[Expense Date],"&gt;="&amp;T420,Expense_Tracker_Table[Expense Date],"&lt;="&amp;U420)</f>
        <v>0</v>
      </c>
    </row>
    <row r="421" spans="20:22" x14ac:dyDescent="0.3">
      <c r="T421" s="25">
        <v>56189</v>
      </c>
      <c r="U421" s="25">
        <f t="shared" si="7"/>
        <v>56218</v>
      </c>
      <c r="V421" s="24">
        <f>SUMIFS(Expense_Tracker_Table[Amount Spent],Expense_Tracker_Table[Expense Date],"&gt;="&amp;T421,Expense_Tracker_Table[Expense Date],"&lt;="&amp;U421)</f>
        <v>0</v>
      </c>
    </row>
    <row r="422" spans="20:22" x14ac:dyDescent="0.3">
      <c r="T422" s="25">
        <v>56219</v>
      </c>
      <c r="U422" s="25">
        <f t="shared" si="7"/>
        <v>56249</v>
      </c>
      <c r="V422" s="24">
        <f>SUMIFS(Expense_Tracker_Table[Amount Spent],Expense_Tracker_Table[Expense Date],"&gt;="&amp;T422,Expense_Tracker_Table[Expense Date],"&lt;="&amp;U422)</f>
        <v>0</v>
      </c>
    </row>
    <row r="423" spans="20:22" x14ac:dyDescent="0.3">
      <c r="T423" s="25">
        <v>56250</v>
      </c>
      <c r="U423" s="25">
        <f t="shared" si="7"/>
        <v>56280</v>
      </c>
      <c r="V423" s="24">
        <f>SUMIFS(Expense_Tracker_Table[Amount Spent],Expense_Tracker_Table[Expense Date],"&gt;="&amp;T423,Expense_Tracker_Table[Expense Date],"&lt;="&amp;U423)</f>
        <v>0</v>
      </c>
    </row>
    <row r="424" spans="20:22" x14ac:dyDescent="0.3">
      <c r="T424" s="25">
        <v>56281</v>
      </c>
      <c r="U424" s="25">
        <f t="shared" si="7"/>
        <v>56308</v>
      </c>
      <c r="V424" s="24">
        <f>SUMIFS(Expense_Tracker_Table[Amount Spent],Expense_Tracker_Table[Expense Date],"&gt;="&amp;T424,Expense_Tracker_Table[Expense Date],"&lt;="&amp;U424)</f>
        <v>0</v>
      </c>
    </row>
    <row r="425" spans="20:22" x14ac:dyDescent="0.3">
      <c r="T425" s="25">
        <v>56309</v>
      </c>
      <c r="U425" s="25">
        <f t="shared" si="7"/>
        <v>56339</v>
      </c>
      <c r="V425" s="24">
        <f>SUMIFS(Expense_Tracker_Table[Amount Spent],Expense_Tracker_Table[Expense Date],"&gt;="&amp;T425,Expense_Tracker_Table[Expense Date],"&lt;="&amp;U425)</f>
        <v>0</v>
      </c>
    </row>
    <row r="426" spans="20:22" x14ac:dyDescent="0.3">
      <c r="T426" s="25">
        <v>56340</v>
      </c>
      <c r="U426" s="25">
        <f t="shared" si="7"/>
        <v>56369</v>
      </c>
      <c r="V426" s="24">
        <f>SUMIFS(Expense_Tracker_Table[Amount Spent],Expense_Tracker_Table[Expense Date],"&gt;="&amp;T426,Expense_Tracker_Table[Expense Date],"&lt;="&amp;U426)</f>
        <v>0</v>
      </c>
    </row>
    <row r="427" spans="20:22" x14ac:dyDescent="0.3">
      <c r="T427" s="25">
        <v>56370</v>
      </c>
      <c r="U427" s="25">
        <f t="shared" si="7"/>
        <v>56400</v>
      </c>
      <c r="V427" s="24">
        <f>SUMIFS(Expense_Tracker_Table[Amount Spent],Expense_Tracker_Table[Expense Date],"&gt;="&amp;T427,Expense_Tracker_Table[Expense Date],"&lt;="&amp;U427)</f>
        <v>0</v>
      </c>
    </row>
    <row r="428" spans="20:22" x14ac:dyDescent="0.3">
      <c r="T428" s="25">
        <v>56401</v>
      </c>
      <c r="U428" s="25">
        <f t="shared" si="7"/>
        <v>56430</v>
      </c>
      <c r="V428" s="24">
        <f>SUMIFS(Expense_Tracker_Table[Amount Spent],Expense_Tracker_Table[Expense Date],"&gt;="&amp;T428,Expense_Tracker_Table[Expense Date],"&lt;="&amp;U428)</f>
        <v>0</v>
      </c>
    </row>
    <row r="429" spans="20:22" x14ac:dyDescent="0.3">
      <c r="T429" s="25">
        <v>56431</v>
      </c>
      <c r="U429" s="25">
        <f t="shared" si="7"/>
        <v>56461</v>
      </c>
      <c r="V429" s="24">
        <f>SUMIFS(Expense_Tracker_Table[Amount Spent],Expense_Tracker_Table[Expense Date],"&gt;="&amp;T429,Expense_Tracker_Table[Expense Date],"&lt;="&amp;U429)</f>
        <v>0</v>
      </c>
    </row>
    <row r="430" spans="20:22" x14ac:dyDescent="0.3">
      <c r="T430" s="25">
        <v>56462</v>
      </c>
      <c r="U430" s="25">
        <f t="shared" si="7"/>
        <v>56492</v>
      </c>
      <c r="V430" s="24">
        <f>SUMIFS(Expense_Tracker_Table[Amount Spent],Expense_Tracker_Table[Expense Date],"&gt;="&amp;T430,Expense_Tracker_Table[Expense Date],"&lt;="&amp;U430)</f>
        <v>0</v>
      </c>
    </row>
    <row r="431" spans="20:22" x14ac:dyDescent="0.3">
      <c r="T431" s="25">
        <v>56493</v>
      </c>
      <c r="U431" s="25">
        <f t="shared" si="7"/>
        <v>56522</v>
      </c>
      <c r="V431" s="24">
        <f>SUMIFS(Expense_Tracker_Table[Amount Spent],Expense_Tracker_Table[Expense Date],"&gt;="&amp;T431,Expense_Tracker_Table[Expense Date],"&lt;="&amp;U431)</f>
        <v>0</v>
      </c>
    </row>
    <row r="432" spans="20:22" x14ac:dyDescent="0.3">
      <c r="T432" s="25">
        <v>56523</v>
      </c>
      <c r="U432" s="25">
        <f t="shared" si="7"/>
        <v>56553</v>
      </c>
      <c r="V432" s="24">
        <f>SUMIFS(Expense_Tracker_Table[Amount Spent],Expense_Tracker_Table[Expense Date],"&gt;="&amp;T432,Expense_Tracker_Table[Expense Date],"&lt;="&amp;U432)</f>
        <v>0</v>
      </c>
    </row>
    <row r="433" spans="20:22" x14ac:dyDescent="0.3">
      <c r="T433" s="25">
        <v>56554</v>
      </c>
      <c r="U433" s="25">
        <f t="shared" si="7"/>
        <v>56583</v>
      </c>
      <c r="V433" s="24">
        <f>SUMIFS(Expense_Tracker_Table[Amount Spent],Expense_Tracker_Table[Expense Date],"&gt;="&amp;T433,Expense_Tracker_Table[Expense Date],"&lt;="&amp;U433)</f>
        <v>0</v>
      </c>
    </row>
    <row r="434" spans="20:22" x14ac:dyDescent="0.3">
      <c r="T434" s="25">
        <v>56584</v>
      </c>
      <c r="U434" s="25">
        <f t="shared" si="7"/>
        <v>56614</v>
      </c>
      <c r="V434" s="24">
        <f>SUMIFS(Expense_Tracker_Table[Amount Spent],Expense_Tracker_Table[Expense Date],"&gt;="&amp;T434,Expense_Tracker_Table[Expense Date],"&lt;="&amp;U434)</f>
        <v>0</v>
      </c>
    </row>
    <row r="435" spans="20:22" x14ac:dyDescent="0.3">
      <c r="T435" s="25">
        <v>56615</v>
      </c>
      <c r="U435" s="25">
        <f t="shared" si="7"/>
        <v>56645</v>
      </c>
      <c r="V435" s="24">
        <f>SUMIFS(Expense_Tracker_Table[Amount Spent],Expense_Tracker_Table[Expense Date],"&gt;="&amp;T435,Expense_Tracker_Table[Expense Date],"&lt;="&amp;U435)</f>
        <v>0</v>
      </c>
    </row>
    <row r="436" spans="20:22" x14ac:dyDescent="0.3">
      <c r="T436" s="25">
        <v>56646</v>
      </c>
      <c r="U436" s="25">
        <f t="shared" si="7"/>
        <v>56673</v>
      </c>
      <c r="V436" s="24">
        <f>SUMIFS(Expense_Tracker_Table[Amount Spent],Expense_Tracker_Table[Expense Date],"&gt;="&amp;T436,Expense_Tracker_Table[Expense Date],"&lt;="&amp;U436)</f>
        <v>0</v>
      </c>
    </row>
    <row r="437" spans="20:22" x14ac:dyDescent="0.3">
      <c r="T437" s="25">
        <v>56674</v>
      </c>
      <c r="U437" s="25">
        <f t="shared" si="7"/>
        <v>56704</v>
      </c>
      <c r="V437" s="24">
        <f>SUMIFS(Expense_Tracker_Table[Amount Spent],Expense_Tracker_Table[Expense Date],"&gt;="&amp;T437,Expense_Tracker_Table[Expense Date],"&lt;="&amp;U437)</f>
        <v>0</v>
      </c>
    </row>
    <row r="438" spans="20:22" x14ac:dyDescent="0.3">
      <c r="T438" s="25">
        <v>56705</v>
      </c>
      <c r="U438" s="25">
        <f t="shared" si="7"/>
        <v>56734</v>
      </c>
      <c r="V438" s="24">
        <f>SUMIFS(Expense_Tracker_Table[Amount Spent],Expense_Tracker_Table[Expense Date],"&gt;="&amp;T438,Expense_Tracker_Table[Expense Date],"&lt;="&amp;U438)</f>
        <v>0</v>
      </c>
    </row>
    <row r="439" spans="20:22" x14ac:dyDescent="0.3">
      <c r="T439" s="25">
        <v>56735</v>
      </c>
      <c r="U439" s="25">
        <f t="shared" si="7"/>
        <v>56765</v>
      </c>
      <c r="V439" s="24">
        <f>SUMIFS(Expense_Tracker_Table[Amount Spent],Expense_Tracker_Table[Expense Date],"&gt;="&amp;T439,Expense_Tracker_Table[Expense Date],"&lt;="&amp;U439)</f>
        <v>0</v>
      </c>
    </row>
    <row r="440" spans="20:22" x14ac:dyDescent="0.3">
      <c r="T440" s="25">
        <v>56766</v>
      </c>
      <c r="U440" s="25">
        <f t="shared" si="7"/>
        <v>56795</v>
      </c>
      <c r="V440" s="24">
        <f>SUMIFS(Expense_Tracker_Table[Amount Spent],Expense_Tracker_Table[Expense Date],"&gt;="&amp;T440,Expense_Tracker_Table[Expense Date],"&lt;="&amp;U440)</f>
        <v>0</v>
      </c>
    </row>
    <row r="441" spans="20:22" x14ac:dyDescent="0.3">
      <c r="T441" s="25">
        <v>56796</v>
      </c>
      <c r="U441" s="25">
        <f t="shared" si="7"/>
        <v>56826</v>
      </c>
      <c r="V441" s="24">
        <f>SUMIFS(Expense_Tracker_Table[Amount Spent],Expense_Tracker_Table[Expense Date],"&gt;="&amp;T441,Expense_Tracker_Table[Expense Date],"&lt;="&amp;U441)</f>
        <v>0</v>
      </c>
    </row>
    <row r="442" spans="20:22" x14ac:dyDescent="0.3">
      <c r="T442" s="25">
        <v>56827</v>
      </c>
      <c r="U442" s="25">
        <f t="shared" si="7"/>
        <v>56857</v>
      </c>
      <c r="V442" s="24">
        <f>SUMIFS(Expense_Tracker_Table[Amount Spent],Expense_Tracker_Table[Expense Date],"&gt;="&amp;T442,Expense_Tracker_Table[Expense Date],"&lt;="&amp;U442)</f>
        <v>0</v>
      </c>
    </row>
    <row r="443" spans="20:22" x14ac:dyDescent="0.3">
      <c r="T443" s="25">
        <v>56858</v>
      </c>
      <c r="U443" s="25">
        <f t="shared" si="7"/>
        <v>56887</v>
      </c>
      <c r="V443" s="24">
        <f>SUMIFS(Expense_Tracker_Table[Amount Spent],Expense_Tracker_Table[Expense Date],"&gt;="&amp;T443,Expense_Tracker_Table[Expense Date],"&lt;="&amp;U443)</f>
        <v>0</v>
      </c>
    </row>
    <row r="444" spans="20:22" x14ac:dyDescent="0.3">
      <c r="T444" s="25">
        <v>56888</v>
      </c>
      <c r="U444" s="25">
        <f t="shared" si="7"/>
        <v>56918</v>
      </c>
      <c r="V444" s="24">
        <f>SUMIFS(Expense_Tracker_Table[Amount Spent],Expense_Tracker_Table[Expense Date],"&gt;="&amp;T444,Expense_Tracker_Table[Expense Date],"&lt;="&amp;U444)</f>
        <v>0</v>
      </c>
    </row>
    <row r="445" spans="20:22" x14ac:dyDescent="0.3">
      <c r="T445" s="25">
        <v>56919</v>
      </c>
      <c r="U445" s="25">
        <f t="shared" si="7"/>
        <v>56948</v>
      </c>
      <c r="V445" s="24">
        <f>SUMIFS(Expense_Tracker_Table[Amount Spent],Expense_Tracker_Table[Expense Date],"&gt;="&amp;T445,Expense_Tracker_Table[Expense Date],"&lt;="&amp;U445)</f>
        <v>0</v>
      </c>
    </row>
    <row r="446" spans="20:22" x14ac:dyDescent="0.3">
      <c r="T446" s="25">
        <v>56949</v>
      </c>
      <c r="U446" s="25">
        <f t="shared" si="7"/>
        <v>56979</v>
      </c>
      <c r="V446" s="24">
        <f>SUMIFS(Expense_Tracker_Table[Amount Spent],Expense_Tracker_Table[Expense Date],"&gt;="&amp;T446,Expense_Tracker_Table[Expense Date],"&lt;="&amp;U446)</f>
        <v>0</v>
      </c>
    </row>
    <row r="447" spans="20:22" x14ac:dyDescent="0.3">
      <c r="T447" s="25">
        <v>56980</v>
      </c>
      <c r="U447" s="25">
        <f t="shared" si="7"/>
        <v>57010</v>
      </c>
      <c r="V447" s="24">
        <f>SUMIFS(Expense_Tracker_Table[Amount Spent],Expense_Tracker_Table[Expense Date],"&gt;="&amp;T447,Expense_Tracker_Table[Expense Date],"&lt;="&amp;U447)</f>
        <v>0</v>
      </c>
    </row>
    <row r="448" spans="20:22" x14ac:dyDescent="0.3">
      <c r="T448" s="25">
        <v>57011</v>
      </c>
      <c r="U448" s="25">
        <f t="shared" si="7"/>
        <v>57039</v>
      </c>
      <c r="V448" s="24">
        <f>SUMIFS(Expense_Tracker_Table[Amount Spent],Expense_Tracker_Table[Expense Date],"&gt;="&amp;T448,Expense_Tracker_Table[Expense Date],"&lt;="&amp;U448)</f>
        <v>0</v>
      </c>
    </row>
    <row r="449" spans="20:22" x14ac:dyDescent="0.3">
      <c r="T449" s="25">
        <v>57040</v>
      </c>
      <c r="U449" s="25">
        <f t="shared" si="7"/>
        <v>57070</v>
      </c>
      <c r="V449" s="24">
        <f>SUMIFS(Expense_Tracker_Table[Amount Spent],Expense_Tracker_Table[Expense Date],"&gt;="&amp;T449,Expense_Tracker_Table[Expense Date],"&lt;="&amp;U449)</f>
        <v>0</v>
      </c>
    </row>
    <row r="450" spans="20:22" x14ac:dyDescent="0.3">
      <c r="T450" s="25">
        <v>57071</v>
      </c>
      <c r="U450" s="25">
        <f t="shared" si="7"/>
        <v>57100</v>
      </c>
      <c r="V450" s="24">
        <f>SUMIFS(Expense_Tracker_Table[Amount Spent],Expense_Tracker_Table[Expense Date],"&gt;="&amp;T450,Expense_Tracker_Table[Expense Date],"&lt;="&amp;U450)</f>
        <v>0</v>
      </c>
    </row>
    <row r="451" spans="20:22" x14ac:dyDescent="0.3">
      <c r="T451" s="25">
        <v>57101</v>
      </c>
      <c r="U451" s="25">
        <f t="shared" si="7"/>
        <v>57131</v>
      </c>
      <c r="V451" s="24">
        <f>SUMIFS(Expense_Tracker_Table[Amount Spent],Expense_Tracker_Table[Expense Date],"&gt;="&amp;T451,Expense_Tracker_Table[Expense Date],"&lt;="&amp;U451)</f>
        <v>0</v>
      </c>
    </row>
    <row r="452" spans="20:22" x14ac:dyDescent="0.3">
      <c r="T452" s="25">
        <v>57132</v>
      </c>
      <c r="U452" s="25">
        <f t="shared" si="7"/>
        <v>57161</v>
      </c>
      <c r="V452" s="24">
        <f>SUMIFS(Expense_Tracker_Table[Amount Spent],Expense_Tracker_Table[Expense Date],"&gt;="&amp;T452,Expense_Tracker_Table[Expense Date],"&lt;="&amp;U452)</f>
        <v>0</v>
      </c>
    </row>
    <row r="453" spans="20:22" x14ac:dyDescent="0.3">
      <c r="T453" s="25">
        <v>57162</v>
      </c>
      <c r="U453" s="25">
        <f t="shared" si="7"/>
        <v>57192</v>
      </c>
      <c r="V453" s="24">
        <f>SUMIFS(Expense_Tracker_Table[Amount Spent],Expense_Tracker_Table[Expense Date],"&gt;="&amp;T453,Expense_Tracker_Table[Expense Date],"&lt;="&amp;U453)</f>
        <v>0</v>
      </c>
    </row>
    <row r="454" spans="20:22" x14ac:dyDescent="0.3">
      <c r="T454" s="25">
        <v>57193</v>
      </c>
      <c r="U454" s="25">
        <f t="shared" si="7"/>
        <v>57223</v>
      </c>
      <c r="V454" s="24">
        <f>SUMIFS(Expense_Tracker_Table[Amount Spent],Expense_Tracker_Table[Expense Date],"&gt;="&amp;T454,Expense_Tracker_Table[Expense Date],"&lt;="&amp;U454)</f>
        <v>0</v>
      </c>
    </row>
    <row r="455" spans="20:22" x14ac:dyDescent="0.3">
      <c r="T455" s="25">
        <v>57224</v>
      </c>
      <c r="U455" s="25">
        <f t="shared" si="7"/>
        <v>57253</v>
      </c>
      <c r="V455" s="24">
        <f>SUMIFS(Expense_Tracker_Table[Amount Spent],Expense_Tracker_Table[Expense Date],"&gt;="&amp;T455,Expense_Tracker_Table[Expense Date],"&lt;="&amp;U455)</f>
        <v>0</v>
      </c>
    </row>
    <row r="456" spans="20:22" x14ac:dyDescent="0.3">
      <c r="T456" s="25">
        <v>57254</v>
      </c>
      <c r="U456" s="25">
        <f t="shared" si="7"/>
        <v>57284</v>
      </c>
      <c r="V456" s="24">
        <f>SUMIFS(Expense_Tracker_Table[Amount Spent],Expense_Tracker_Table[Expense Date],"&gt;="&amp;T456,Expense_Tracker_Table[Expense Date],"&lt;="&amp;U456)</f>
        <v>0</v>
      </c>
    </row>
    <row r="457" spans="20:22" x14ac:dyDescent="0.3">
      <c r="T457" s="25">
        <v>57285</v>
      </c>
      <c r="U457" s="25">
        <f t="shared" ref="U457:U520" si="8">EOMONTH(T457,0)</f>
        <v>57314</v>
      </c>
      <c r="V457" s="24">
        <f>SUMIFS(Expense_Tracker_Table[Amount Spent],Expense_Tracker_Table[Expense Date],"&gt;="&amp;T457,Expense_Tracker_Table[Expense Date],"&lt;="&amp;U457)</f>
        <v>0</v>
      </c>
    </row>
    <row r="458" spans="20:22" x14ac:dyDescent="0.3">
      <c r="T458" s="25">
        <v>57315</v>
      </c>
      <c r="U458" s="25">
        <f t="shared" si="8"/>
        <v>57345</v>
      </c>
      <c r="V458" s="24">
        <f>SUMIFS(Expense_Tracker_Table[Amount Spent],Expense_Tracker_Table[Expense Date],"&gt;="&amp;T458,Expense_Tracker_Table[Expense Date],"&lt;="&amp;U458)</f>
        <v>0</v>
      </c>
    </row>
    <row r="459" spans="20:22" x14ac:dyDescent="0.3">
      <c r="T459" s="25">
        <v>57346</v>
      </c>
      <c r="U459" s="25">
        <f t="shared" si="8"/>
        <v>57376</v>
      </c>
      <c r="V459" s="24">
        <f>SUMIFS(Expense_Tracker_Table[Amount Spent],Expense_Tracker_Table[Expense Date],"&gt;="&amp;T459,Expense_Tracker_Table[Expense Date],"&lt;="&amp;U459)</f>
        <v>0</v>
      </c>
    </row>
    <row r="460" spans="20:22" x14ac:dyDescent="0.3">
      <c r="T460" s="25">
        <v>57377</v>
      </c>
      <c r="U460" s="25">
        <f t="shared" si="8"/>
        <v>57404</v>
      </c>
      <c r="V460" s="24">
        <f>SUMIFS(Expense_Tracker_Table[Amount Spent],Expense_Tracker_Table[Expense Date],"&gt;="&amp;T460,Expense_Tracker_Table[Expense Date],"&lt;="&amp;U460)</f>
        <v>0</v>
      </c>
    </row>
    <row r="461" spans="20:22" x14ac:dyDescent="0.3">
      <c r="T461" s="25">
        <v>57405</v>
      </c>
      <c r="U461" s="25">
        <f t="shared" si="8"/>
        <v>57435</v>
      </c>
      <c r="V461" s="24">
        <f>SUMIFS(Expense_Tracker_Table[Amount Spent],Expense_Tracker_Table[Expense Date],"&gt;="&amp;T461,Expense_Tracker_Table[Expense Date],"&lt;="&amp;U461)</f>
        <v>0</v>
      </c>
    </row>
    <row r="462" spans="20:22" x14ac:dyDescent="0.3">
      <c r="T462" s="25">
        <v>57436</v>
      </c>
      <c r="U462" s="25">
        <f t="shared" si="8"/>
        <v>57465</v>
      </c>
      <c r="V462" s="24">
        <f>SUMIFS(Expense_Tracker_Table[Amount Spent],Expense_Tracker_Table[Expense Date],"&gt;="&amp;T462,Expense_Tracker_Table[Expense Date],"&lt;="&amp;U462)</f>
        <v>0</v>
      </c>
    </row>
    <row r="463" spans="20:22" x14ac:dyDescent="0.3">
      <c r="T463" s="25">
        <v>57466</v>
      </c>
      <c r="U463" s="25">
        <f t="shared" si="8"/>
        <v>57496</v>
      </c>
      <c r="V463" s="24">
        <f>SUMIFS(Expense_Tracker_Table[Amount Spent],Expense_Tracker_Table[Expense Date],"&gt;="&amp;T463,Expense_Tracker_Table[Expense Date],"&lt;="&amp;U463)</f>
        <v>0</v>
      </c>
    </row>
    <row r="464" spans="20:22" x14ac:dyDescent="0.3">
      <c r="T464" s="25">
        <v>57497</v>
      </c>
      <c r="U464" s="25">
        <f t="shared" si="8"/>
        <v>57526</v>
      </c>
      <c r="V464" s="24">
        <f>SUMIFS(Expense_Tracker_Table[Amount Spent],Expense_Tracker_Table[Expense Date],"&gt;="&amp;T464,Expense_Tracker_Table[Expense Date],"&lt;="&amp;U464)</f>
        <v>0</v>
      </c>
    </row>
    <row r="465" spans="20:22" x14ac:dyDescent="0.3">
      <c r="T465" s="25">
        <v>57527</v>
      </c>
      <c r="U465" s="25">
        <f t="shared" si="8"/>
        <v>57557</v>
      </c>
      <c r="V465" s="24">
        <f>SUMIFS(Expense_Tracker_Table[Amount Spent],Expense_Tracker_Table[Expense Date],"&gt;="&amp;T465,Expense_Tracker_Table[Expense Date],"&lt;="&amp;U465)</f>
        <v>0</v>
      </c>
    </row>
    <row r="466" spans="20:22" x14ac:dyDescent="0.3">
      <c r="T466" s="25">
        <v>57558</v>
      </c>
      <c r="U466" s="25">
        <f t="shared" si="8"/>
        <v>57588</v>
      </c>
      <c r="V466" s="24">
        <f>SUMIFS(Expense_Tracker_Table[Amount Spent],Expense_Tracker_Table[Expense Date],"&gt;="&amp;T466,Expense_Tracker_Table[Expense Date],"&lt;="&amp;U466)</f>
        <v>0</v>
      </c>
    </row>
    <row r="467" spans="20:22" x14ac:dyDescent="0.3">
      <c r="T467" s="25">
        <v>57589</v>
      </c>
      <c r="U467" s="25">
        <f t="shared" si="8"/>
        <v>57618</v>
      </c>
      <c r="V467" s="24">
        <f>SUMIFS(Expense_Tracker_Table[Amount Spent],Expense_Tracker_Table[Expense Date],"&gt;="&amp;T467,Expense_Tracker_Table[Expense Date],"&lt;="&amp;U467)</f>
        <v>0</v>
      </c>
    </row>
    <row r="468" spans="20:22" x14ac:dyDescent="0.3">
      <c r="T468" s="25">
        <v>57619</v>
      </c>
      <c r="U468" s="25">
        <f t="shared" si="8"/>
        <v>57649</v>
      </c>
      <c r="V468" s="24">
        <f>SUMIFS(Expense_Tracker_Table[Amount Spent],Expense_Tracker_Table[Expense Date],"&gt;="&amp;T468,Expense_Tracker_Table[Expense Date],"&lt;="&amp;U468)</f>
        <v>0</v>
      </c>
    </row>
    <row r="469" spans="20:22" x14ac:dyDescent="0.3">
      <c r="T469" s="25">
        <v>57650</v>
      </c>
      <c r="U469" s="25">
        <f t="shared" si="8"/>
        <v>57679</v>
      </c>
      <c r="V469" s="24">
        <f>SUMIFS(Expense_Tracker_Table[Amount Spent],Expense_Tracker_Table[Expense Date],"&gt;="&amp;T469,Expense_Tracker_Table[Expense Date],"&lt;="&amp;U469)</f>
        <v>0</v>
      </c>
    </row>
    <row r="470" spans="20:22" x14ac:dyDescent="0.3">
      <c r="T470" s="25">
        <v>57680</v>
      </c>
      <c r="U470" s="25">
        <f t="shared" si="8"/>
        <v>57710</v>
      </c>
      <c r="V470" s="24">
        <f>SUMIFS(Expense_Tracker_Table[Amount Spent],Expense_Tracker_Table[Expense Date],"&gt;="&amp;T470,Expense_Tracker_Table[Expense Date],"&lt;="&amp;U470)</f>
        <v>0</v>
      </c>
    </row>
    <row r="471" spans="20:22" x14ac:dyDescent="0.3">
      <c r="T471" s="25">
        <v>57711</v>
      </c>
      <c r="U471" s="25">
        <f t="shared" si="8"/>
        <v>57741</v>
      </c>
      <c r="V471" s="24">
        <f>SUMIFS(Expense_Tracker_Table[Amount Spent],Expense_Tracker_Table[Expense Date],"&gt;="&amp;T471,Expense_Tracker_Table[Expense Date],"&lt;="&amp;U471)</f>
        <v>0</v>
      </c>
    </row>
    <row r="472" spans="20:22" x14ac:dyDescent="0.3">
      <c r="T472" s="25">
        <v>57742</v>
      </c>
      <c r="U472" s="25">
        <f t="shared" si="8"/>
        <v>57769</v>
      </c>
      <c r="V472" s="24">
        <f>SUMIFS(Expense_Tracker_Table[Amount Spent],Expense_Tracker_Table[Expense Date],"&gt;="&amp;T472,Expense_Tracker_Table[Expense Date],"&lt;="&amp;U472)</f>
        <v>0</v>
      </c>
    </row>
    <row r="473" spans="20:22" x14ac:dyDescent="0.3">
      <c r="T473" s="25">
        <v>57770</v>
      </c>
      <c r="U473" s="25">
        <f t="shared" si="8"/>
        <v>57800</v>
      </c>
      <c r="V473" s="24">
        <f>SUMIFS(Expense_Tracker_Table[Amount Spent],Expense_Tracker_Table[Expense Date],"&gt;="&amp;T473,Expense_Tracker_Table[Expense Date],"&lt;="&amp;U473)</f>
        <v>0</v>
      </c>
    </row>
    <row r="474" spans="20:22" x14ac:dyDescent="0.3">
      <c r="T474" s="25">
        <v>57801</v>
      </c>
      <c r="U474" s="25">
        <f t="shared" si="8"/>
        <v>57830</v>
      </c>
      <c r="V474" s="24">
        <f>SUMIFS(Expense_Tracker_Table[Amount Spent],Expense_Tracker_Table[Expense Date],"&gt;="&amp;T474,Expense_Tracker_Table[Expense Date],"&lt;="&amp;U474)</f>
        <v>0</v>
      </c>
    </row>
    <row r="475" spans="20:22" x14ac:dyDescent="0.3">
      <c r="T475" s="25">
        <v>57831</v>
      </c>
      <c r="U475" s="25">
        <f t="shared" si="8"/>
        <v>57861</v>
      </c>
      <c r="V475" s="24">
        <f>SUMIFS(Expense_Tracker_Table[Amount Spent],Expense_Tracker_Table[Expense Date],"&gt;="&amp;T475,Expense_Tracker_Table[Expense Date],"&lt;="&amp;U475)</f>
        <v>0</v>
      </c>
    </row>
    <row r="476" spans="20:22" x14ac:dyDescent="0.3">
      <c r="T476" s="25">
        <v>57862</v>
      </c>
      <c r="U476" s="25">
        <f t="shared" si="8"/>
        <v>57891</v>
      </c>
      <c r="V476" s="24">
        <f>SUMIFS(Expense_Tracker_Table[Amount Spent],Expense_Tracker_Table[Expense Date],"&gt;="&amp;T476,Expense_Tracker_Table[Expense Date],"&lt;="&amp;U476)</f>
        <v>0</v>
      </c>
    </row>
    <row r="477" spans="20:22" x14ac:dyDescent="0.3">
      <c r="T477" s="25">
        <v>57892</v>
      </c>
      <c r="U477" s="25">
        <f t="shared" si="8"/>
        <v>57922</v>
      </c>
      <c r="V477" s="24">
        <f>SUMIFS(Expense_Tracker_Table[Amount Spent],Expense_Tracker_Table[Expense Date],"&gt;="&amp;T477,Expense_Tracker_Table[Expense Date],"&lt;="&amp;U477)</f>
        <v>0</v>
      </c>
    </row>
    <row r="478" spans="20:22" x14ac:dyDescent="0.3">
      <c r="T478" s="25">
        <v>57923</v>
      </c>
      <c r="U478" s="25">
        <f t="shared" si="8"/>
        <v>57953</v>
      </c>
      <c r="V478" s="24">
        <f>SUMIFS(Expense_Tracker_Table[Amount Spent],Expense_Tracker_Table[Expense Date],"&gt;="&amp;T478,Expense_Tracker_Table[Expense Date],"&lt;="&amp;U478)</f>
        <v>0</v>
      </c>
    </row>
    <row r="479" spans="20:22" x14ac:dyDescent="0.3">
      <c r="T479" s="25">
        <v>57954</v>
      </c>
      <c r="U479" s="25">
        <f t="shared" si="8"/>
        <v>57983</v>
      </c>
      <c r="V479" s="24">
        <f>SUMIFS(Expense_Tracker_Table[Amount Spent],Expense_Tracker_Table[Expense Date],"&gt;="&amp;T479,Expense_Tracker_Table[Expense Date],"&lt;="&amp;U479)</f>
        <v>0</v>
      </c>
    </row>
    <row r="480" spans="20:22" x14ac:dyDescent="0.3">
      <c r="T480" s="25">
        <v>57984</v>
      </c>
      <c r="U480" s="25">
        <f t="shared" si="8"/>
        <v>58014</v>
      </c>
      <c r="V480" s="24">
        <f>SUMIFS(Expense_Tracker_Table[Amount Spent],Expense_Tracker_Table[Expense Date],"&gt;="&amp;T480,Expense_Tracker_Table[Expense Date],"&lt;="&amp;U480)</f>
        <v>0</v>
      </c>
    </row>
    <row r="481" spans="20:22" x14ac:dyDescent="0.3">
      <c r="T481" s="25">
        <v>58015</v>
      </c>
      <c r="U481" s="25">
        <f t="shared" si="8"/>
        <v>58044</v>
      </c>
      <c r="V481" s="24">
        <f>SUMIFS(Expense_Tracker_Table[Amount Spent],Expense_Tracker_Table[Expense Date],"&gt;="&amp;T481,Expense_Tracker_Table[Expense Date],"&lt;="&amp;U481)</f>
        <v>0</v>
      </c>
    </row>
    <row r="482" spans="20:22" x14ac:dyDescent="0.3">
      <c r="T482" s="25">
        <v>58045</v>
      </c>
      <c r="U482" s="25">
        <f t="shared" si="8"/>
        <v>58075</v>
      </c>
      <c r="V482" s="24">
        <f>SUMIFS(Expense_Tracker_Table[Amount Spent],Expense_Tracker_Table[Expense Date],"&gt;="&amp;T482,Expense_Tracker_Table[Expense Date],"&lt;="&amp;U482)</f>
        <v>0</v>
      </c>
    </row>
    <row r="483" spans="20:22" x14ac:dyDescent="0.3">
      <c r="T483" s="25">
        <v>58076</v>
      </c>
      <c r="U483" s="25">
        <f t="shared" si="8"/>
        <v>58106</v>
      </c>
      <c r="V483" s="24">
        <f>SUMIFS(Expense_Tracker_Table[Amount Spent],Expense_Tracker_Table[Expense Date],"&gt;="&amp;T483,Expense_Tracker_Table[Expense Date],"&lt;="&amp;U483)</f>
        <v>0</v>
      </c>
    </row>
    <row r="484" spans="20:22" x14ac:dyDescent="0.3">
      <c r="T484" s="25">
        <v>58107</v>
      </c>
      <c r="U484" s="25">
        <f t="shared" si="8"/>
        <v>58134</v>
      </c>
      <c r="V484" s="24">
        <f>SUMIFS(Expense_Tracker_Table[Amount Spent],Expense_Tracker_Table[Expense Date],"&gt;="&amp;T484,Expense_Tracker_Table[Expense Date],"&lt;="&amp;U484)</f>
        <v>0</v>
      </c>
    </row>
    <row r="485" spans="20:22" x14ac:dyDescent="0.3">
      <c r="T485" s="25">
        <v>58135</v>
      </c>
      <c r="U485" s="25">
        <f t="shared" si="8"/>
        <v>58165</v>
      </c>
      <c r="V485" s="24">
        <f>SUMIFS(Expense_Tracker_Table[Amount Spent],Expense_Tracker_Table[Expense Date],"&gt;="&amp;T485,Expense_Tracker_Table[Expense Date],"&lt;="&amp;U485)</f>
        <v>0</v>
      </c>
    </row>
    <row r="486" spans="20:22" x14ac:dyDescent="0.3">
      <c r="T486" s="25">
        <v>58166</v>
      </c>
      <c r="U486" s="25">
        <f t="shared" si="8"/>
        <v>58195</v>
      </c>
      <c r="V486" s="24">
        <f>SUMIFS(Expense_Tracker_Table[Amount Spent],Expense_Tracker_Table[Expense Date],"&gt;="&amp;T486,Expense_Tracker_Table[Expense Date],"&lt;="&amp;U486)</f>
        <v>0</v>
      </c>
    </row>
    <row r="487" spans="20:22" x14ac:dyDescent="0.3">
      <c r="T487" s="25">
        <v>58196</v>
      </c>
      <c r="U487" s="25">
        <f t="shared" si="8"/>
        <v>58226</v>
      </c>
      <c r="V487" s="24">
        <f>SUMIFS(Expense_Tracker_Table[Amount Spent],Expense_Tracker_Table[Expense Date],"&gt;="&amp;T487,Expense_Tracker_Table[Expense Date],"&lt;="&amp;U487)</f>
        <v>0</v>
      </c>
    </row>
    <row r="488" spans="20:22" x14ac:dyDescent="0.3">
      <c r="T488" s="25">
        <v>58227</v>
      </c>
      <c r="U488" s="25">
        <f t="shared" si="8"/>
        <v>58256</v>
      </c>
      <c r="V488" s="24">
        <f>SUMIFS(Expense_Tracker_Table[Amount Spent],Expense_Tracker_Table[Expense Date],"&gt;="&amp;T488,Expense_Tracker_Table[Expense Date],"&lt;="&amp;U488)</f>
        <v>0</v>
      </c>
    </row>
    <row r="489" spans="20:22" x14ac:dyDescent="0.3">
      <c r="T489" s="25">
        <v>58257</v>
      </c>
      <c r="U489" s="25">
        <f t="shared" si="8"/>
        <v>58287</v>
      </c>
      <c r="V489" s="24">
        <f>SUMIFS(Expense_Tracker_Table[Amount Spent],Expense_Tracker_Table[Expense Date],"&gt;="&amp;T489,Expense_Tracker_Table[Expense Date],"&lt;="&amp;U489)</f>
        <v>0</v>
      </c>
    </row>
    <row r="490" spans="20:22" x14ac:dyDescent="0.3">
      <c r="T490" s="25">
        <v>58288</v>
      </c>
      <c r="U490" s="25">
        <f t="shared" si="8"/>
        <v>58318</v>
      </c>
      <c r="V490" s="24">
        <f>SUMIFS(Expense_Tracker_Table[Amount Spent],Expense_Tracker_Table[Expense Date],"&gt;="&amp;T490,Expense_Tracker_Table[Expense Date],"&lt;="&amp;U490)</f>
        <v>0</v>
      </c>
    </row>
    <row r="491" spans="20:22" x14ac:dyDescent="0.3">
      <c r="T491" s="25">
        <v>58319</v>
      </c>
      <c r="U491" s="25">
        <f t="shared" si="8"/>
        <v>58348</v>
      </c>
      <c r="V491" s="24">
        <f>SUMIFS(Expense_Tracker_Table[Amount Spent],Expense_Tracker_Table[Expense Date],"&gt;="&amp;T491,Expense_Tracker_Table[Expense Date],"&lt;="&amp;U491)</f>
        <v>0</v>
      </c>
    </row>
    <row r="492" spans="20:22" x14ac:dyDescent="0.3">
      <c r="T492" s="25">
        <v>58349</v>
      </c>
      <c r="U492" s="25">
        <f t="shared" si="8"/>
        <v>58379</v>
      </c>
      <c r="V492" s="24">
        <f>SUMIFS(Expense_Tracker_Table[Amount Spent],Expense_Tracker_Table[Expense Date],"&gt;="&amp;T492,Expense_Tracker_Table[Expense Date],"&lt;="&amp;U492)</f>
        <v>0</v>
      </c>
    </row>
    <row r="493" spans="20:22" x14ac:dyDescent="0.3">
      <c r="T493" s="25">
        <v>58380</v>
      </c>
      <c r="U493" s="25">
        <f t="shared" si="8"/>
        <v>58409</v>
      </c>
      <c r="V493" s="24">
        <f>SUMIFS(Expense_Tracker_Table[Amount Spent],Expense_Tracker_Table[Expense Date],"&gt;="&amp;T493,Expense_Tracker_Table[Expense Date],"&lt;="&amp;U493)</f>
        <v>0</v>
      </c>
    </row>
    <row r="494" spans="20:22" x14ac:dyDescent="0.3">
      <c r="T494" s="25">
        <v>58410</v>
      </c>
      <c r="U494" s="25">
        <f t="shared" si="8"/>
        <v>58440</v>
      </c>
      <c r="V494" s="24">
        <f>SUMIFS(Expense_Tracker_Table[Amount Spent],Expense_Tracker_Table[Expense Date],"&gt;="&amp;T494,Expense_Tracker_Table[Expense Date],"&lt;="&amp;U494)</f>
        <v>0</v>
      </c>
    </row>
    <row r="495" spans="20:22" x14ac:dyDescent="0.3">
      <c r="T495" s="25">
        <v>58441</v>
      </c>
      <c r="U495" s="25">
        <f t="shared" si="8"/>
        <v>58471</v>
      </c>
      <c r="V495" s="24">
        <f>SUMIFS(Expense_Tracker_Table[Amount Spent],Expense_Tracker_Table[Expense Date],"&gt;="&amp;T495,Expense_Tracker_Table[Expense Date],"&lt;="&amp;U495)</f>
        <v>0</v>
      </c>
    </row>
    <row r="496" spans="20:22" x14ac:dyDescent="0.3">
      <c r="T496" s="25">
        <v>58472</v>
      </c>
      <c r="U496" s="25">
        <f t="shared" si="8"/>
        <v>58500</v>
      </c>
      <c r="V496" s="24">
        <f>SUMIFS(Expense_Tracker_Table[Amount Spent],Expense_Tracker_Table[Expense Date],"&gt;="&amp;T496,Expense_Tracker_Table[Expense Date],"&lt;="&amp;U496)</f>
        <v>0</v>
      </c>
    </row>
    <row r="497" spans="20:22" x14ac:dyDescent="0.3">
      <c r="T497" s="25">
        <v>58501</v>
      </c>
      <c r="U497" s="25">
        <f t="shared" si="8"/>
        <v>58531</v>
      </c>
      <c r="V497" s="24">
        <f>SUMIFS(Expense_Tracker_Table[Amount Spent],Expense_Tracker_Table[Expense Date],"&gt;="&amp;T497,Expense_Tracker_Table[Expense Date],"&lt;="&amp;U497)</f>
        <v>0</v>
      </c>
    </row>
    <row r="498" spans="20:22" x14ac:dyDescent="0.3">
      <c r="T498" s="25">
        <v>58532</v>
      </c>
      <c r="U498" s="25">
        <f t="shared" si="8"/>
        <v>58561</v>
      </c>
      <c r="V498" s="24">
        <f>SUMIFS(Expense_Tracker_Table[Amount Spent],Expense_Tracker_Table[Expense Date],"&gt;="&amp;T498,Expense_Tracker_Table[Expense Date],"&lt;="&amp;U498)</f>
        <v>0</v>
      </c>
    </row>
    <row r="499" spans="20:22" x14ac:dyDescent="0.3">
      <c r="T499" s="25">
        <v>58562</v>
      </c>
      <c r="U499" s="25">
        <f t="shared" si="8"/>
        <v>58592</v>
      </c>
      <c r="V499" s="24">
        <f>SUMIFS(Expense_Tracker_Table[Amount Spent],Expense_Tracker_Table[Expense Date],"&gt;="&amp;T499,Expense_Tracker_Table[Expense Date],"&lt;="&amp;U499)</f>
        <v>0</v>
      </c>
    </row>
    <row r="500" spans="20:22" x14ac:dyDescent="0.3">
      <c r="T500" s="25">
        <v>58593</v>
      </c>
      <c r="U500" s="25">
        <f t="shared" si="8"/>
        <v>58622</v>
      </c>
      <c r="V500" s="24">
        <f>SUMIFS(Expense_Tracker_Table[Amount Spent],Expense_Tracker_Table[Expense Date],"&gt;="&amp;T500,Expense_Tracker_Table[Expense Date],"&lt;="&amp;U500)</f>
        <v>0</v>
      </c>
    </row>
    <row r="501" spans="20:22" x14ac:dyDescent="0.3">
      <c r="T501" s="25">
        <v>58623</v>
      </c>
      <c r="U501" s="25">
        <f t="shared" si="8"/>
        <v>58653</v>
      </c>
      <c r="V501" s="24">
        <f>SUMIFS(Expense_Tracker_Table[Amount Spent],Expense_Tracker_Table[Expense Date],"&gt;="&amp;T501,Expense_Tracker_Table[Expense Date],"&lt;="&amp;U501)</f>
        <v>0</v>
      </c>
    </row>
    <row r="502" spans="20:22" x14ac:dyDescent="0.3">
      <c r="T502" s="25">
        <v>58654</v>
      </c>
      <c r="U502" s="25">
        <f t="shared" si="8"/>
        <v>58684</v>
      </c>
      <c r="V502" s="24">
        <f>SUMIFS(Expense_Tracker_Table[Amount Spent],Expense_Tracker_Table[Expense Date],"&gt;="&amp;T502,Expense_Tracker_Table[Expense Date],"&lt;="&amp;U502)</f>
        <v>0</v>
      </c>
    </row>
    <row r="503" spans="20:22" x14ac:dyDescent="0.3">
      <c r="T503" s="25">
        <v>58685</v>
      </c>
      <c r="U503" s="25">
        <f t="shared" si="8"/>
        <v>58714</v>
      </c>
      <c r="V503" s="24">
        <f>SUMIFS(Expense_Tracker_Table[Amount Spent],Expense_Tracker_Table[Expense Date],"&gt;="&amp;T503,Expense_Tracker_Table[Expense Date],"&lt;="&amp;U503)</f>
        <v>0</v>
      </c>
    </row>
    <row r="504" spans="20:22" x14ac:dyDescent="0.3">
      <c r="T504" s="25">
        <v>58715</v>
      </c>
      <c r="U504" s="25">
        <f t="shared" si="8"/>
        <v>58745</v>
      </c>
      <c r="V504" s="24">
        <f>SUMIFS(Expense_Tracker_Table[Amount Spent],Expense_Tracker_Table[Expense Date],"&gt;="&amp;T504,Expense_Tracker_Table[Expense Date],"&lt;="&amp;U504)</f>
        <v>0</v>
      </c>
    </row>
    <row r="505" spans="20:22" x14ac:dyDescent="0.3">
      <c r="T505" s="25">
        <v>58746</v>
      </c>
      <c r="U505" s="25">
        <f t="shared" si="8"/>
        <v>58775</v>
      </c>
      <c r="V505" s="24">
        <f>SUMIFS(Expense_Tracker_Table[Amount Spent],Expense_Tracker_Table[Expense Date],"&gt;="&amp;T505,Expense_Tracker_Table[Expense Date],"&lt;="&amp;U505)</f>
        <v>0</v>
      </c>
    </row>
    <row r="506" spans="20:22" x14ac:dyDescent="0.3">
      <c r="T506" s="25">
        <v>58776</v>
      </c>
      <c r="U506" s="25">
        <f t="shared" si="8"/>
        <v>58806</v>
      </c>
      <c r="V506" s="24">
        <f>SUMIFS(Expense_Tracker_Table[Amount Spent],Expense_Tracker_Table[Expense Date],"&gt;="&amp;T506,Expense_Tracker_Table[Expense Date],"&lt;="&amp;U506)</f>
        <v>0</v>
      </c>
    </row>
    <row r="507" spans="20:22" x14ac:dyDescent="0.3">
      <c r="T507" s="25">
        <v>58807</v>
      </c>
      <c r="U507" s="25">
        <f t="shared" si="8"/>
        <v>58837</v>
      </c>
      <c r="V507" s="24">
        <f>SUMIFS(Expense_Tracker_Table[Amount Spent],Expense_Tracker_Table[Expense Date],"&gt;="&amp;T507,Expense_Tracker_Table[Expense Date],"&lt;="&amp;U507)</f>
        <v>0</v>
      </c>
    </row>
    <row r="508" spans="20:22" x14ac:dyDescent="0.3">
      <c r="T508" s="25">
        <v>58838</v>
      </c>
      <c r="U508" s="25">
        <f t="shared" si="8"/>
        <v>58865</v>
      </c>
      <c r="V508" s="24">
        <f>SUMIFS(Expense_Tracker_Table[Amount Spent],Expense_Tracker_Table[Expense Date],"&gt;="&amp;T508,Expense_Tracker_Table[Expense Date],"&lt;="&amp;U508)</f>
        <v>0</v>
      </c>
    </row>
    <row r="509" spans="20:22" x14ac:dyDescent="0.3">
      <c r="T509" s="25">
        <v>58866</v>
      </c>
      <c r="U509" s="25">
        <f t="shared" si="8"/>
        <v>58896</v>
      </c>
      <c r="V509" s="24">
        <f>SUMIFS(Expense_Tracker_Table[Amount Spent],Expense_Tracker_Table[Expense Date],"&gt;="&amp;T509,Expense_Tracker_Table[Expense Date],"&lt;="&amp;U509)</f>
        <v>0</v>
      </c>
    </row>
    <row r="510" spans="20:22" x14ac:dyDescent="0.3">
      <c r="T510" s="25">
        <v>58897</v>
      </c>
      <c r="U510" s="25">
        <f t="shared" si="8"/>
        <v>58926</v>
      </c>
      <c r="V510" s="24">
        <f>SUMIFS(Expense_Tracker_Table[Amount Spent],Expense_Tracker_Table[Expense Date],"&gt;="&amp;T510,Expense_Tracker_Table[Expense Date],"&lt;="&amp;U510)</f>
        <v>0</v>
      </c>
    </row>
    <row r="511" spans="20:22" x14ac:dyDescent="0.3">
      <c r="T511" s="25">
        <v>58927</v>
      </c>
      <c r="U511" s="25">
        <f t="shared" si="8"/>
        <v>58957</v>
      </c>
      <c r="V511" s="24">
        <f>SUMIFS(Expense_Tracker_Table[Amount Spent],Expense_Tracker_Table[Expense Date],"&gt;="&amp;T511,Expense_Tracker_Table[Expense Date],"&lt;="&amp;U511)</f>
        <v>0</v>
      </c>
    </row>
    <row r="512" spans="20:22" x14ac:dyDescent="0.3">
      <c r="T512" s="25">
        <v>58958</v>
      </c>
      <c r="U512" s="25">
        <f t="shared" si="8"/>
        <v>58987</v>
      </c>
      <c r="V512" s="24">
        <f>SUMIFS(Expense_Tracker_Table[Amount Spent],Expense_Tracker_Table[Expense Date],"&gt;="&amp;T512,Expense_Tracker_Table[Expense Date],"&lt;="&amp;U512)</f>
        <v>0</v>
      </c>
    </row>
    <row r="513" spans="20:22" x14ac:dyDescent="0.3">
      <c r="T513" s="25">
        <v>58988</v>
      </c>
      <c r="U513" s="25">
        <f t="shared" si="8"/>
        <v>59018</v>
      </c>
      <c r="V513" s="24">
        <f>SUMIFS(Expense_Tracker_Table[Amount Spent],Expense_Tracker_Table[Expense Date],"&gt;="&amp;T513,Expense_Tracker_Table[Expense Date],"&lt;="&amp;U513)</f>
        <v>0</v>
      </c>
    </row>
    <row r="514" spans="20:22" x14ac:dyDescent="0.3">
      <c r="T514" s="25">
        <v>59019</v>
      </c>
      <c r="U514" s="25">
        <f t="shared" si="8"/>
        <v>59049</v>
      </c>
      <c r="V514" s="24">
        <f>SUMIFS(Expense_Tracker_Table[Amount Spent],Expense_Tracker_Table[Expense Date],"&gt;="&amp;T514,Expense_Tracker_Table[Expense Date],"&lt;="&amp;U514)</f>
        <v>0</v>
      </c>
    </row>
    <row r="515" spans="20:22" x14ac:dyDescent="0.3">
      <c r="T515" s="25">
        <v>59050</v>
      </c>
      <c r="U515" s="25">
        <f t="shared" si="8"/>
        <v>59079</v>
      </c>
      <c r="V515" s="24">
        <f>SUMIFS(Expense_Tracker_Table[Amount Spent],Expense_Tracker_Table[Expense Date],"&gt;="&amp;T515,Expense_Tracker_Table[Expense Date],"&lt;="&amp;U515)</f>
        <v>0</v>
      </c>
    </row>
    <row r="516" spans="20:22" x14ac:dyDescent="0.3">
      <c r="T516" s="25">
        <v>59080</v>
      </c>
      <c r="U516" s="25">
        <f t="shared" si="8"/>
        <v>59110</v>
      </c>
      <c r="V516" s="24">
        <f>SUMIFS(Expense_Tracker_Table[Amount Spent],Expense_Tracker_Table[Expense Date],"&gt;="&amp;T516,Expense_Tracker_Table[Expense Date],"&lt;="&amp;U516)</f>
        <v>0</v>
      </c>
    </row>
    <row r="517" spans="20:22" x14ac:dyDescent="0.3">
      <c r="T517" s="25">
        <v>59111</v>
      </c>
      <c r="U517" s="25">
        <f t="shared" si="8"/>
        <v>59140</v>
      </c>
      <c r="V517" s="24">
        <f>SUMIFS(Expense_Tracker_Table[Amount Spent],Expense_Tracker_Table[Expense Date],"&gt;="&amp;T517,Expense_Tracker_Table[Expense Date],"&lt;="&amp;U517)</f>
        <v>0</v>
      </c>
    </row>
    <row r="518" spans="20:22" x14ac:dyDescent="0.3">
      <c r="T518" s="25">
        <v>59141</v>
      </c>
      <c r="U518" s="25">
        <f t="shared" si="8"/>
        <v>59171</v>
      </c>
      <c r="V518" s="24">
        <f>SUMIFS(Expense_Tracker_Table[Amount Spent],Expense_Tracker_Table[Expense Date],"&gt;="&amp;T518,Expense_Tracker_Table[Expense Date],"&lt;="&amp;U518)</f>
        <v>0</v>
      </c>
    </row>
    <row r="519" spans="20:22" x14ac:dyDescent="0.3">
      <c r="T519" s="25">
        <v>59172</v>
      </c>
      <c r="U519" s="25">
        <f t="shared" si="8"/>
        <v>59202</v>
      </c>
      <c r="V519" s="24">
        <f>SUMIFS(Expense_Tracker_Table[Amount Spent],Expense_Tracker_Table[Expense Date],"&gt;="&amp;T519,Expense_Tracker_Table[Expense Date],"&lt;="&amp;U519)</f>
        <v>0</v>
      </c>
    </row>
    <row r="520" spans="20:22" x14ac:dyDescent="0.3">
      <c r="T520" s="25">
        <v>59203</v>
      </c>
      <c r="U520" s="25">
        <f t="shared" si="8"/>
        <v>59230</v>
      </c>
      <c r="V520" s="24">
        <f>SUMIFS(Expense_Tracker_Table[Amount Spent],Expense_Tracker_Table[Expense Date],"&gt;="&amp;T520,Expense_Tracker_Table[Expense Date],"&lt;="&amp;U520)</f>
        <v>0</v>
      </c>
    </row>
    <row r="521" spans="20:22" x14ac:dyDescent="0.3">
      <c r="T521" s="25">
        <v>59231</v>
      </c>
      <c r="U521" s="25">
        <f t="shared" ref="U521:U584" si="9">EOMONTH(T521,0)</f>
        <v>59261</v>
      </c>
      <c r="V521" s="24">
        <f>SUMIFS(Expense_Tracker_Table[Amount Spent],Expense_Tracker_Table[Expense Date],"&gt;="&amp;T521,Expense_Tracker_Table[Expense Date],"&lt;="&amp;U521)</f>
        <v>0</v>
      </c>
    </row>
    <row r="522" spans="20:22" x14ac:dyDescent="0.3">
      <c r="T522" s="25">
        <v>59262</v>
      </c>
      <c r="U522" s="25">
        <f t="shared" si="9"/>
        <v>59291</v>
      </c>
      <c r="V522" s="24">
        <f>SUMIFS(Expense_Tracker_Table[Amount Spent],Expense_Tracker_Table[Expense Date],"&gt;="&amp;T522,Expense_Tracker_Table[Expense Date],"&lt;="&amp;U522)</f>
        <v>0</v>
      </c>
    </row>
    <row r="523" spans="20:22" x14ac:dyDescent="0.3">
      <c r="T523" s="25">
        <v>59292</v>
      </c>
      <c r="U523" s="25">
        <f t="shared" si="9"/>
        <v>59322</v>
      </c>
      <c r="V523" s="24">
        <f>SUMIFS(Expense_Tracker_Table[Amount Spent],Expense_Tracker_Table[Expense Date],"&gt;="&amp;T523,Expense_Tracker_Table[Expense Date],"&lt;="&amp;U523)</f>
        <v>0</v>
      </c>
    </row>
    <row r="524" spans="20:22" x14ac:dyDescent="0.3">
      <c r="T524" s="25">
        <v>59323</v>
      </c>
      <c r="U524" s="25">
        <f t="shared" si="9"/>
        <v>59352</v>
      </c>
      <c r="V524" s="24">
        <f>SUMIFS(Expense_Tracker_Table[Amount Spent],Expense_Tracker_Table[Expense Date],"&gt;="&amp;T524,Expense_Tracker_Table[Expense Date],"&lt;="&amp;U524)</f>
        <v>0</v>
      </c>
    </row>
    <row r="525" spans="20:22" x14ac:dyDescent="0.3">
      <c r="T525" s="25">
        <v>59353</v>
      </c>
      <c r="U525" s="25">
        <f t="shared" si="9"/>
        <v>59383</v>
      </c>
      <c r="V525" s="24">
        <f>SUMIFS(Expense_Tracker_Table[Amount Spent],Expense_Tracker_Table[Expense Date],"&gt;="&amp;T525,Expense_Tracker_Table[Expense Date],"&lt;="&amp;U525)</f>
        <v>0</v>
      </c>
    </row>
    <row r="526" spans="20:22" x14ac:dyDescent="0.3">
      <c r="T526" s="25">
        <v>59384</v>
      </c>
      <c r="U526" s="25">
        <f t="shared" si="9"/>
        <v>59414</v>
      </c>
      <c r="V526" s="24">
        <f>SUMIFS(Expense_Tracker_Table[Amount Spent],Expense_Tracker_Table[Expense Date],"&gt;="&amp;T526,Expense_Tracker_Table[Expense Date],"&lt;="&amp;U526)</f>
        <v>0</v>
      </c>
    </row>
    <row r="527" spans="20:22" x14ac:dyDescent="0.3">
      <c r="T527" s="25">
        <v>59415</v>
      </c>
      <c r="U527" s="25">
        <f t="shared" si="9"/>
        <v>59444</v>
      </c>
      <c r="V527" s="24">
        <f>SUMIFS(Expense_Tracker_Table[Amount Spent],Expense_Tracker_Table[Expense Date],"&gt;="&amp;T527,Expense_Tracker_Table[Expense Date],"&lt;="&amp;U527)</f>
        <v>0</v>
      </c>
    </row>
    <row r="528" spans="20:22" x14ac:dyDescent="0.3">
      <c r="T528" s="25">
        <v>59445</v>
      </c>
      <c r="U528" s="25">
        <f t="shared" si="9"/>
        <v>59475</v>
      </c>
      <c r="V528" s="24">
        <f>SUMIFS(Expense_Tracker_Table[Amount Spent],Expense_Tracker_Table[Expense Date],"&gt;="&amp;T528,Expense_Tracker_Table[Expense Date],"&lt;="&amp;U528)</f>
        <v>0</v>
      </c>
    </row>
    <row r="529" spans="20:22" x14ac:dyDescent="0.3">
      <c r="T529" s="25">
        <v>59476</v>
      </c>
      <c r="U529" s="25">
        <f t="shared" si="9"/>
        <v>59505</v>
      </c>
      <c r="V529" s="24">
        <f>SUMIFS(Expense_Tracker_Table[Amount Spent],Expense_Tracker_Table[Expense Date],"&gt;="&amp;T529,Expense_Tracker_Table[Expense Date],"&lt;="&amp;U529)</f>
        <v>0</v>
      </c>
    </row>
    <row r="530" spans="20:22" x14ac:dyDescent="0.3">
      <c r="T530" s="25">
        <v>59506</v>
      </c>
      <c r="U530" s="25">
        <f t="shared" si="9"/>
        <v>59536</v>
      </c>
      <c r="V530" s="24">
        <f>SUMIFS(Expense_Tracker_Table[Amount Spent],Expense_Tracker_Table[Expense Date],"&gt;="&amp;T530,Expense_Tracker_Table[Expense Date],"&lt;="&amp;U530)</f>
        <v>0</v>
      </c>
    </row>
    <row r="531" spans="20:22" x14ac:dyDescent="0.3">
      <c r="T531" s="25">
        <v>59537</v>
      </c>
      <c r="U531" s="25">
        <f t="shared" si="9"/>
        <v>59567</v>
      </c>
      <c r="V531" s="24">
        <f>SUMIFS(Expense_Tracker_Table[Amount Spent],Expense_Tracker_Table[Expense Date],"&gt;="&amp;T531,Expense_Tracker_Table[Expense Date],"&lt;="&amp;U531)</f>
        <v>0</v>
      </c>
    </row>
    <row r="532" spans="20:22" x14ac:dyDescent="0.3">
      <c r="T532" s="25">
        <v>59568</v>
      </c>
      <c r="U532" s="25">
        <f t="shared" si="9"/>
        <v>59595</v>
      </c>
      <c r="V532" s="24">
        <f>SUMIFS(Expense_Tracker_Table[Amount Spent],Expense_Tracker_Table[Expense Date],"&gt;="&amp;T532,Expense_Tracker_Table[Expense Date],"&lt;="&amp;U532)</f>
        <v>0</v>
      </c>
    </row>
    <row r="533" spans="20:22" x14ac:dyDescent="0.3">
      <c r="T533" s="25">
        <v>59596</v>
      </c>
      <c r="U533" s="25">
        <f t="shared" si="9"/>
        <v>59626</v>
      </c>
      <c r="V533" s="24">
        <f>SUMIFS(Expense_Tracker_Table[Amount Spent],Expense_Tracker_Table[Expense Date],"&gt;="&amp;T533,Expense_Tracker_Table[Expense Date],"&lt;="&amp;U533)</f>
        <v>0</v>
      </c>
    </row>
    <row r="534" spans="20:22" x14ac:dyDescent="0.3">
      <c r="T534" s="25">
        <v>59627</v>
      </c>
      <c r="U534" s="25">
        <f t="shared" si="9"/>
        <v>59656</v>
      </c>
      <c r="V534" s="24">
        <f>SUMIFS(Expense_Tracker_Table[Amount Spent],Expense_Tracker_Table[Expense Date],"&gt;="&amp;T534,Expense_Tracker_Table[Expense Date],"&lt;="&amp;U534)</f>
        <v>0</v>
      </c>
    </row>
    <row r="535" spans="20:22" x14ac:dyDescent="0.3">
      <c r="T535" s="25">
        <v>59657</v>
      </c>
      <c r="U535" s="25">
        <f t="shared" si="9"/>
        <v>59687</v>
      </c>
      <c r="V535" s="24">
        <f>SUMIFS(Expense_Tracker_Table[Amount Spent],Expense_Tracker_Table[Expense Date],"&gt;="&amp;T535,Expense_Tracker_Table[Expense Date],"&lt;="&amp;U535)</f>
        <v>0</v>
      </c>
    </row>
    <row r="536" spans="20:22" x14ac:dyDescent="0.3">
      <c r="T536" s="25">
        <v>59688</v>
      </c>
      <c r="U536" s="25">
        <f t="shared" si="9"/>
        <v>59717</v>
      </c>
      <c r="V536" s="24">
        <f>SUMIFS(Expense_Tracker_Table[Amount Spent],Expense_Tracker_Table[Expense Date],"&gt;="&amp;T536,Expense_Tracker_Table[Expense Date],"&lt;="&amp;U536)</f>
        <v>0</v>
      </c>
    </row>
    <row r="537" spans="20:22" x14ac:dyDescent="0.3">
      <c r="T537" s="25">
        <v>59718</v>
      </c>
      <c r="U537" s="25">
        <f t="shared" si="9"/>
        <v>59748</v>
      </c>
      <c r="V537" s="24">
        <f>SUMIFS(Expense_Tracker_Table[Amount Spent],Expense_Tracker_Table[Expense Date],"&gt;="&amp;T537,Expense_Tracker_Table[Expense Date],"&lt;="&amp;U537)</f>
        <v>0</v>
      </c>
    </row>
    <row r="538" spans="20:22" x14ac:dyDescent="0.3">
      <c r="T538" s="25">
        <v>59749</v>
      </c>
      <c r="U538" s="25">
        <f t="shared" si="9"/>
        <v>59779</v>
      </c>
      <c r="V538" s="24">
        <f>SUMIFS(Expense_Tracker_Table[Amount Spent],Expense_Tracker_Table[Expense Date],"&gt;="&amp;T538,Expense_Tracker_Table[Expense Date],"&lt;="&amp;U538)</f>
        <v>0</v>
      </c>
    </row>
    <row r="539" spans="20:22" x14ac:dyDescent="0.3">
      <c r="T539" s="25">
        <v>59780</v>
      </c>
      <c r="U539" s="25">
        <f t="shared" si="9"/>
        <v>59809</v>
      </c>
      <c r="V539" s="24">
        <f>SUMIFS(Expense_Tracker_Table[Amount Spent],Expense_Tracker_Table[Expense Date],"&gt;="&amp;T539,Expense_Tracker_Table[Expense Date],"&lt;="&amp;U539)</f>
        <v>0</v>
      </c>
    </row>
    <row r="540" spans="20:22" x14ac:dyDescent="0.3">
      <c r="T540" s="25">
        <v>59810</v>
      </c>
      <c r="U540" s="25">
        <f t="shared" si="9"/>
        <v>59840</v>
      </c>
      <c r="V540" s="24">
        <f>SUMIFS(Expense_Tracker_Table[Amount Spent],Expense_Tracker_Table[Expense Date],"&gt;="&amp;T540,Expense_Tracker_Table[Expense Date],"&lt;="&amp;U540)</f>
        <v>0</v>
      </c>
    </row>
    <row r="541" spans="20:22" x14ac:dyDescent="0.3">
      <c r="T541" s="25">
        <v>59841</v>
      </c>
      <c r="U541" s="25">
        <f t="shared" si="9"/>
        <v>59870</v>
      </c>
      <c r="V541" s="24">
        <f>SUMIFS(Expense_Tracker_Table[Amount Spent],Expense_Tracker_Table[Expense Date],"&gt;="&amp;T541,Expense_Tracker_Table[Expense Date],"&lt;="&amp;U541)</f>
        <v>0</v>
      </c>
    </row>
    <row r="542" spans="20:22" x14ac:dyDescent="0.3">
      <c r="T542" s="25">
        <v>59871</v>
      </c>
      <c r="U542" s="25">
        <f t="shared" si="9"/>
        <v>59901</v>
      </c>
      <c r="V542" s="24">
        <f>SUMIFS(Expense_Tracker_Table[Amount Spent],Expense_Tracker_Table[Expense Date],"&gt;="&amp;T542,Expense_Tracker_Table[Expense Date],"&lt;="&amp;U542)</f>
        <v>0</v>
      </c>
    </row>
    <row r="543" spans="20:22" x14ac:dyDescent="0.3">
      <c r="T543" s="25">
        <v>59902</v>
      </c>
      <c r="U543" s="25">
        <f t="shared" si="9"/>
        <v>59932</v>
      </c>
      <c r="V543" s="24">
        <f>SUMIFS(Expense_Tracker_Table[Amount Spent],Expense_Tracker_Table[Expense Date],"&gt;="&amp;T543,Expense_Tracker_Table[Expense Date],"&lt;="&amp;U543)</f>
        <v>0</v>
      </c>
    </row>
    <row r="544" spans="20:22" x14ac:dyDescent="0.3">
      <c r="T544" s="25">
        <v>59933</v>
      </c>
      <c r="U544" s="25">
        <f t="shared" si="9"/>
        <v>59961</v>
      </c>
      <c r="V544" s="24">
        <f>SUMIFS(Expense_Tracker_Table[Amount Spent],Expense_Tracker_Table[Expense Date],"&gt;="&amp;T544,Expense_Tracker_Table[Expense Date],"&lt;="&amp;U544)</f>
        <v>0</v>
      </c>
    </row>
    <row r="545" spans="20:22" x14ac:dyDescent="0.3">
      <c r="T545" s="25">
        <v>59962</v>
      </c>
      <c r="U545" s="25">
        <f t="shared" si="9"/>
        <v>59992</v>
      </c>
      <c r="V545" s="24">
        <f>SUMIFS(Expense_Tracker_Table[Amount Spent],Expense_Tracker_Table[Expense Date],"&gt;="&amp;T545,Expense_Tracker_Table[Expense Date],"&lt;="&amp;U545)</f>
        <v>0</v>
      </c>
    </row>
    <row r="546" spans="20:22" x14ac:dyDescent="0.3">
      <c r="T546" s="25">
        <v>59993</v>
      </c>
      <c r="U546" s="25">
        <f t="shared" si="9"/>
        <v>60022</v>
      </c>
      <c r="V546" s="24">
        <f>SUMIFS(Expense_Tracker_Table[Amount Spent],Expense_Tracker_Table[Expense Date],"&gt;="&amp;T546,Expense_Tracker_Table[Expense Date],"&lt;="&amp;U546)</f>
        <v>0</v>
      </c>
    </row>
    <row r="547" spans="20:22" x14ac:dyDescent="0.3">
      <c r="T547" s="25">
        <v>60023</v>
      </c>
      <c r="U547" s="25">
        <f t="shared" si="9"/>
        <v>60053</v>
      </c>
      <c r="V547" s="24">
        <f>SUMIFS(Expense_Tracker_Table[Amount Spent],Expense_Tracker_Table[Expense Date],"&gt;="&amp;T547,Expense_Tracker_Table[Expense Date],"&lt;="&amp;U547)</f>
        <v>0</v>
      </c>
    </row>
    <row r="548" spans="20:22" x14ac:dyDescent="0.3">
      <c r="T548" s="25">
        <v>60054</v>
      </c>
      <c r="U548" s="25">
        <f t="shared" si="9"/>
        <v>60083</v>
      </c>
      <c r="V548" s="24">
        <f>SUMIFS(Expense_Tracker_Table[Amount Spent],Expense_Tracker_Table[Expense Date],"&gt;="&amp;T548,Expense_Tracker_Table[Expense Date],"&lt;="&amp;U548)</f>
        <v>0</v>
      </c>
    </row>
    <row r="549" spans="20:22" x14ac:dyDescent="0.3">
      <c r="T549" s="25">
        <v>60084</v>
      </c>
      <c r="U549" s="25">
        <f t="shared" si="9"/>
        <v>60114</v>
      </c>
      <c r="V549" s="24">
        <f>SUMIFS(Expense_Tracker_Table[Amount Spent],Expense_Tracker_Table[Expense Date],"&gt;="&amp;T549,Expense_Tracker_Table[Expense Date],"&lt;="&amp;U549)</f>
        <v>0</v>
      </c>
    </row>
    <row r="550" spans="20:22" x14ac:dyDescent="0.3">
      <c r="T550" s="25">
        <v>60115</v>
      </c>
      <c r="U550" s="25">
        <f t="shared" si="9"/>
        <v>60145</v>
      </c>
      <c r="V550" s="24">
        <f>SUMIFS(Expense_Tracker_Table[Amount Spent],Expense_Tracker_Table[Expense Date],"&gt;="&amp;T550,Expense_Tracker_Table[Expense Date],"&lt;="&amp;U550)</f>
        <v>0</v>
      </c>
    </row>
    <row r="551" spans="20:22" x14ac:dyDescent="0.3">
      <c r="T551" s="25">
        <v>60146</v>
      </c>
      <c r="U551" s="25">
        <f t="shared" si="9"/>
        <v>60175</v>
      </c>
      <c r="V551" s="24">
        <f>SUMIFS(Expense_Tracker_Table[Amount Spent],Expense_Tracker_Table[Expense Date],"&gt;="&amp;T551,Expense_Tracker_Table[Expense Date],"&lt;="&amp;U551)</f>
        <v>0</v>
      </c>
    </row>
    <row r="552" spans="20:22" x14ac:dyDescent="0.3">
      <c r="T552" s="25">
        <v>60176</v>
      </c>
      <c r="U552" s="25">
        <f t="shared" si="9"/>
        <v>60206</v>
      </c>
      <c r="V552" s="24">
        <f>SUMIFS(Expense_Tracker_Table[Amount Spent],Expense_Tracker_Table[Expense Date],"&gt;="&amp;T552,Expense_Tracker_Table[Expense Date],"&lt;="&amp;U552)</f>
        <v>0</v>
      </c>
    </row>
    <row r="553" spans="20:22" x14ac:dyDescent="0.3">
      <c r="T553" s="25">
        <v>60207</v>
      </c>
      <c r="U553" s="25">
        <f t="shared" si="9"/>
        <v>60236</v>
      </c>
      <c r="V553" s="24">
        <f>SUMIFS(Expense_Tracker_Table[Amount Spent],Expense_Tracker_Table[Expense Date],"&gt;="&amp;T553,Expense_Tracker_Table[Expense Date],"&lt;="&amp;U553)</f>
        <v>0</v>
      </c>
    </row>
    <row r="554" spans="20:22" x14ac:dyDescent="0.3">
      <c r="T554" s="25">
        <v>60237</v>
      </c>
      <c r="U554" s="25">
        <f t="shared" si="9"/>
        <v>60267</v>
      </c>
      <c r="V554" s="24">
        <f>SUMIFS(Expense_Tracker_Table[Amount Spent],Expense_Tracker_Table[Expense Date],"&gt;="&amp;T554,Expense_Tracker_Table[Expense Date],"&lt;="&amp;U554)</f>
        <v>0</v>
      </c>
    </row>
    <row r="555" spans="20:22" x14ac:dyDescent="0.3">
      <c r="T555" s="25">
        <v>60268</v>
      </c>
      <c r="U555" s="25">
        <f t="shared" si="9"/>
        <v>60298</v>
      </c>
      <c r="V555" s="24">
        <f>SUMIFS(Expense_Tracker_Table[Amount Spent],Expense_Tracker_Table[Expense Date],"&gt;="&amp;T555,Expense_Tracker_Table[Expense Date],"&lt;="&amp;U555)</f>
        <v>0</v>
      </c>
    </row>
    <row r="556" spans="20:22" x14ac:dyDescent="0.3">
      <c r="T556" s="25">
        <v>60299</v>
      </c>
      <c r="U556" s="25">
        <f t="shared" si="9"/>
        <v>60326</v>
      </c>
      <c r="V556" s="24">
        <f>SUMIFS(Expense_Tracker_Table[Amount Spent],Expense_Tracker_Table[Expense Date],"&gt;="&amp;T556,Expense_Tracker_Table[Expense Date],"&lt;="&amp;U556)</f>
        <v>0</v>
      </c>
    </row>
    <row r="557" spans="20:22" x14ac:dyDescent="0.3">
      <c r="T557" s="25">
        <v>60327</v>
      </c>
      <c r="U557" s="25">
        <f t="shared" si="9"/>
        <v>60357</v>
      </c>
      <c r="V557" s="24">
        <f>SUMIFS(Expense_Tracker_Table[Amount Spent],Expense_Tracker_Table[Expense Date],"&gt;="&amp;T557,Expense_Tracker_Table[Expense Date],"&lt;="&amp;U557)</f>
        <v>0</v>
      </c>
    </row>
    <row r="558" spans="20:22" x14ac:dyDescent="0.3">
      <c r="T558" s="25">
        <v>60358</v>
      </c>
      <c r="U558" s="25">
        <f t="shared" si="9"/>
        <v>60387</v>
      </c>
      <c r="V558" s="24">
        <f>SUMIFS(Expense_Tracker_Table[Amount Spent],Expense_Tracker_Table[Expense Date],"&gt;="&amp;T558,Expense_Tracker_Table[Expense Date],"&lt;="&amp;U558)</f>
        <v>0</v>
      </c>
    </row>
    <row r="559" spans="20:22" x14ac:dyDescent="0.3">
      <c r="T559" s="25">
        <v>60388</v>
      </c>
      <c r="U559" s="25">
        <f t="shared" si="9"/>
        <v>60418</v>
      </c>
      <c r="V559" s="24">
        <f>SUMIFS(Expense_Tracker_Table[Amount Spent],Expense_Tracker_Table[Expense Date],"&gt;="&amp;T559,Expense_Tracker_Table[Expense Date],"&lt;="&amp;U559)</f>
        <v>0</v>
      </c>
    </row>
    <row r="560" spans="20:22" x14ac:dyDescent="0.3">
      <c r="T560" s="25">
        <v>60419</v>
      </c>
      <c r="U560" s="25">
        <f t="shared" si="9"/>
        <v>60448</v>
      </c>
      <c r="V560" s="24">
        <f>SUMIFS(Expense_Tracker_Table[Amount Spent],Expense_Tracker_Table[Expense Date],"&gt;="&amp;T560,Expense_Tracker_Table[Expense Date],"&lt;="&amp;U560)</f>
        <v>0</v>
      </c>
    </row>
    <row r="561" spans="20:22" x14ac:dyDescent="0.3">
      <c r="T561" s="25">
        <v>60449</v>
      </c>
      <c r="U561" s="25">
        <f t="shared" si="9"/>
        <v>60479</v>
      </c>
      <c r="V561" s="24">
        <f>SUMIFS(Expense_Tracker_Table[Amount Spent],Expense_Tracker_Table[Expense Date],"&gt;="&amp;T561,Expense_Tracker_Table[Expense Date],"&lt;="&amp;U561)</f>
        <v>0</v>
      </c>
    </row>
    <row r="562" spans="20:22" x14ac:dyDescent="0.3">
      <c r="T562" s="25">
        <v>60480</v>
      </c>
      <c r="U562" s="25">
        <f t="shared" si="9"/>
        <v>60510</v>
      </c>
      <c r="V562" s="24">
        <f>SUMIFS(Expense_Tracker_Table[Amount Spent],Expense_Tracker_Table[Expense Date],"&gt;="&amp;T562,Expense_Tracker_Table[Expense Date],"&lt;="&amp;U562)</f>
        <v>0</v>
      </c>
    </row>
    <row r="563" spans="20:22" x14ac:dyDescent="0.3">
      <c r="T563" s="25">
        <v>60511</v>
      </c>
      <c r="U563" s="25">
        <f t="shared" si="9"/>
        <v>60540</v>
      </c>
      <c r="V563" s="24">
        <f>SUMIFS(Expense_Tracker_Table[Amount Spent],Expense_Tracker_Table[Expense Date],"&gt;="&amp;T563,Expense_Tracker_Table[Expense Date],"&lt;="&amp;U563)</f>
        <v>0</v>
      </c>
    </row>
    <row r="564" spans="20:22" x14ac:dyDescent="0.3">
      <c r="T564" s="25">
        <v>60541</v>
      </c>
      <c r="U564" s="25">
        <f t="shared" si="9"/>
        <v>60571</v>
      </c>
      <c r="V564" s="24">
        <f>SUMIFS(Expense_Tracker_Table[Amount Spent],Expense_Tracker_Table[Expense Date],"&gt;="&amp;T564,Expense_Tracker_Table[Expense Date],"&lt;="&amp;U564)</f>
        <v>0</v>
      </c>
    </row>
    <row r="565" spans="20:22" x14ac:dyDescent="0.3">
      <c r="T565" s="25">
        <v>60572</v>
      </c>
      <c r="U565" s="25">
        <f t="shared" si="9"/>
        <v>60601</v>
      </c>
      <c r="V565" s="24">
        <f>SUMIFS(Expense_Tracker_Table[Amount Spent],Expense_Tracker_Table[Expense Date],"&gt;="&amp;T565,Expense_Tracker_Table[Expense Date],"&lt;="&amp;U565)</f>
        <v>0</v>
      </c>
    </row>
    <row r="566" spans="20:22" x14ac:dyDescent="0.3">
      <c r="T566" s="25">
        <v>60602</v>
      </c>
      <c r="U566" s="25">
        <f t="shared" si="9"/>
        <v>60632</v>
      </c>
      <c r="V566" s="24">
        <f>SUMIFS(Expense_Tracker_Table[Amount Spent],Expense_Tracker_Table[Expense Date],"&gt;="&amp;T566,Expense_Tracker_Table[Expense Date],"&lt;="&amp;U566)</f>
        <v>0</v>
      </c>
    </row>
    <row r="567" spans="20:22" x14ac:dyDescent="0.3">
      <c r="T567" s="25">
        <v>60633</v>
      </c>
      <c r="U567" s="25">
        <f t="shared" si="9"/>
        <v>60663</v>
      </c>
      <c r="V567" s="24">
        <f>SUMIFS(Expense_Tracker_Table[Amount Spent],Expense_Tracker_Table[Expense Date],"&gt;="&amp;T567,Expense_Tracker_Table[Expense Date],"&lt;="&amp;U567)</f>
        <v>0</v>
      </c>
    </row>
    <row r="568" spans="20:22" x14ac:dyDescent="0.3">
      <c r="T568" s="25">
        <v>60664</v>
      </c>
      <c r="U568" s="25">
        <f t="shared" si="9"/>
        <v>60691</v>
      </c>
      <c r="V568" s="24">
        <f>SUMIFS(Expense_Tracker_Table[Amount Spent],Expense_Tracker_Table[Expense Date],"&gt;="&amp;T568,Expense_Tracker_Table[Expense Date],"&lt;="&amp;U568)</f>
        <v>0</v>
      </c>
    </row>
    <row r="569" spans="20:22" x14ac:dyDescent="0.3">
      <c r="T569" s="25">
        <v>60692</v>
      </c>
      <c r="U569" s="25">
        <f t="shared" si="9"/>
        <v>60722</v>
      </c>
      <c r="V569" s="24">
        <f>SUMIFS(Expense_Tracker_Table[Amount Spent],Expense_Tracker_Table[Expense Date],"&gt;="&amp;T569,Expense_Tracker_Table[Expense Date],"&lt;="&amp;U569)</f>
        <v>0</v>
      </c>
    </row>
    <row r="570" spans="20:22" x14ac:dyDescent="0.3">
      <c r="T570" s="25">
        <v>60723</v>
      </c>
      <c r="U570" s="25">
        <f t="shared" si="9"/>
        <v>60752</v>
      </c>
      <c r="V570" s="24">
        <f>SUMIFS(Expense_Tracker_Table[Amount Spent],Expense_Tracker_Table[Expense Date],"&gt;="&amp;T570,Expense_Tracker_Table[Expense Date],"&lt;="&amp;U570)</f>
        <v>0</v>
      </c>
    </row>
    <row r="571" spans="20:22" x14ac:dyDescent="0.3">
      <c r="T571" s="25">
        <v>60753</v>
      </c>
      <c r="U571" s="25">
        <f t="shared" si="9"/>
        <v>60783</v>
      </c>
      <c r="V571" s="24">
        <f>SUMIFS(Expense_Tracker_Table[Amount Spent],Expense_Tracker_Table[Expense Date],"&gt;="&amp;T571,Expense_Tracker_Table[Expense Date],"&lt;="&amp;U571)</f>
        <v>0</v>
      </c>
    </row>
    <row r="572" spans="20:22" x14ac:dyDescent="0.3">
      <c r="T572" s="25">
        <v>60784</v>
      </c>
      <c r="U572" s="25">
        <f t="shared" si="9"/>
        <v>60813</v>
      </c>
      <c r="V572" s="24">
        <f>SUMIFS(Expense_Tracker_Table[Amount Spent],Expense_Tracker_Table[Expense Date],"&gt;="&amp;T572,Expense_Tracker_Table[Expense Date],"&lt;="&amp;U572)</f>
        <v>0</v>
      </c>
    </row>
    <row r="573" spans="20:22" x14ac:dyDescent="0.3">
      <c r="T573" s="25">
        <v>60814</v>
      </c>
      <c r="U573" s="25">
        <f t="shared" si="9"/>
        <v>60844</v>
      </c>
      <c r="V573" s="24">
        <f>SUMIFS(Expense_Tracker_Table[Amount Spent],Expense_Tracker_Table[Expense Date],"&gt;="&amp;T573,Expense_Tracker_Table[Expense Date],"&lt;="&amp;U573)</f>
        <v>0</v>
      </c>
    </row>
    <row r="574" spans="20:22" x14ac:dyDescent="0.3">
      <c r="T574" s="25">
        <v>60845</v>
      </c>
      <c r="U574" s="25">
        <f t="shared" si="9"/>
        <v>60875</v>
      </c>
      <c r="V574" s="24">
        <f>SUMIFS(Expense_Tracker_Table[Amount Spent],Expense_Tracker_Table[Expense Date],"&gt;="&amp;T574,Expense_Tracker_Table[Expense Date],"&lt;="&amp;U574)</f>
        <v>0</v>
      </c>
    </row>
    <row r="575" spans="20:22" x14ac:dyDescent="0.3">
      <c r="T575" s="25">
        <v>60876</v>
      </c>
      <c r="U575" s="25">
        <f t="shared" si="9"/>
        <v>60905</v>
      </c>
      <c r="V575" s="24">
        <f>SUMIFS(Expense_Tracker_Table[Amount Spent],Expense_Tracker_Table[Expense Date],"&gt;="&amp;T575,Expense_Tracker_Table[Expense Date],"&lt;="&amp;U575)</f>
        <v>0</v>
      </c>
    </row>
    <row r="576" spans="20:22" x14ac:dyDescent="0.3">
      <c r="T576" s="25">
        <v>60906</v>
      </c>
      <c r="U576" s="25">
        <f t="shared" si="9"/>
        <v>60936</v>
      </c>
      <c r="V576" s="24">
        <f>SUMIFS(Expense_Tracker_Table[Amount Spent],Expense_Tracker_Table[Expense Date],"&gt;="&amp;T576,Expense_Tracker_Table[Expense Date],"&lt;="&amp;U576)</f>
        <v>0</v>
      </c>
    </row>
    <row r="577" spans="20:22" x14ac:dyDescent="0.3">
      <c r="T577" s="25">
        <v>60937</v>
      </c>
      <c r="U577" s="25">
        <f t="shared" si="9"/>
        <v>60966</v>
      </c>
      <c r="V577" s="24">
        <f>SUMIFS(Expense_Tracker_Table[Amount Spent],Expense_Tracker_Table[Expense Date],"&gt;="&amp;T577,Expense_Tracker_Table[Expense Date],"&lt;="&amp;U577)</f>
        <v>0</v>
      </c>
    </row>
    <row r="578" spans="20:22" x14ac:dyDescent="0.3">
      <c r="T578" s="25">
        <v>60967</v>
      </c>
      <c r="U578" s="25">
        <f t="shared" si="9"/>
        <v>60997</v>
      </c>
      <c r="V578" s="24">
        <f>SUMIFS(Expense_Tracker_Table[Amount Spent],Expense_Tracker_Table[Expense Date],"&gt;="&amp;T578,Expense_Tracker_Table[Expense Date],"&lt;="&amp;U578)</f>
        <v>0</v>
      </c>
    </row>
    <row r="579" spans="20:22" x14ac:dyDescent="0.3">
      <c r="T579" s="25">
        <v>60998</v>
      </c>
      <c r="U579" s="25">
        <f t="shared" si="9"/>
        <v>61028</v>
      </c>
      <c r="V579" s="24">
        <f>SUMIFS(Expense_Tracker_Table[Amount Spent],Expense_Tracker_Table[Expense Date],"&gt;="&amp;T579,Expense_Tracker_Table[Expense Date],"&lt;="&amp;U579)</f>
        <v>0</v>
      </c>
    </row>
    <row r="580" spans="20:22" x14ac:dyDescent="0.3">
      <c r="T580" s="25">
        <v>61029</v>
      </c>
      <c r="U580" s="25">
        <f t="shared" si="9"/>
        <v>61056</v>
      </c>
      <c r="V580" s="24">
        <f>SUMIFS(Expense_Tracker_Table[Amount Spent],Expense_Tracker_Table[Expense Date],"&gt;="&amp;T580,Expense_Tracker_Table[Expense Date],"&lt;="&amp;U580)</f>
        <v>0</v>
      </c>
    </row>
    <row r="581" spans="20:22" x14ac:dyDescent="0.3">
      <c r="T581" s="25">
        <v>61057</v>
      </c>
      <c r="U581" s="25">
        <f t="shared" si="9"/>
        <v>61087</v>
      </c>
      <c r="V581" s="24">
        <f>SUMIFS(Expense_Tracker_Table[Amount Spent],Expense_Tracker_Table[Expense Date],"&gt;="&amp;T581,Expense_Tracker_Table[Expense Date],"&lt;="&amp;U581)</f>
        <v>0</v>
      </c>
    </row>
    <row r="582" spans="20:22" x14ac:dyDescent="0.3">
      <c r="T582" s="25">
        <v>61088</v>
      </c>
      <c r="U582" s="25">
        <f t="shared" si="9"/>
        <v>61117</v>
      </c>
      <c r="V582" s="24">
        <f>SUMIFS(Expense_Tracker_Table[Amount Spent],Expense_Tracker_Table[Expense Date],"&gt;="&amp;T582,Expense_Tracker_Table[Expense Date],"&lt;="&amp;U582)</f>
        <v>0</v>
      </c>
    </row>
    <row r="583" spans="20:22" x14ac:dyDescent="0.3">
      <c r="T583" s="25">
        <v>61118</v>
      </c>
      <c r="U583" s="25">
        <f t="shared" si="9"/>
        <v>61148</v>
      </c>
      <c r="V583" s="24">
        <f>SUMIFS(Expense_Tracker_Table[Amount Spent],Expense_Tracker_Table[Expense Date],"&gt;="&amp;T583,Expense_Tracker_Table[Expense Date],"&lt;="&amp;U583)</f>
        <v>0</v>
      </c>
    </row>
    <row r="584" spans="20:22" x14ac:dyDescent="0.3">
      <c r="T584" s="25">
        <v>61149</v>
      </c>
      <c r="U584" s="25">
        <f t="shared" si="9"/>
        <v>61178</v>
      </c>
      <c r="V584" s="24">
        <f>SUMIFS(Expense_Tracker_Table[Amount Spent],Expense_Tracker_Table[Expense Date],"&gt;="&amp;T584,Expense_Tracker_Table[Expense Date],"&lt;="&amp;U584)</f>
        <v>0</v>
      </c>
    </row>
    <row r="585" spans="20:22" x14ac:dyDescent="0.3">
      <c r="T585" s="25">
        <v>61179</v>
      </c>
      <c r="U585" s="25">
        <f t="shared" ref="U585:U648" si="10">EOMONTH(T585,0)</f>
        <v>61209</v>
      </c>
      <c r="V585" s="24">
        <f>SUMIFS(Expense_Tracker_Table[Amount Spent],Expense_Tracker_Table[Expense Date],"&gt;="&amp;T585,Expense_Tracker_Table[Expense Date],"&lt;="&amp;U585)</f>
        <v>0</v>
      </c>
    </row>
    <row r="586" spans="20:22" x14ac:dyDescent="0.3">
      <c r="T586" s="25">
        <v>61210</v>
      </c>
      <c r="U586" s="25">
        <f t="shared" si="10"/>
        <v>61240</v>
      </c>
      <c r="V586" s="24">
        <f>SUMIFS(Expense_Tracker_Table[Amount Spent],Expense_Tracker_Table[Expense Date],"&gt;="&amp;T586,Expense_Tracker_Table[Expense Date],"&lt;="&amp;U586)</f>
        <v>0</v>
      </c>
    </row>
    <row r="587" spans="20:22" x14ac:dyDescent="0.3">
      <c r="T587" s="25">
        <v>61241</v>
      </c>
      <c r="U587" s="25">
        <f t="shared" si="10"/>
        <v>61270</v>
      </c>
      <c r="V587" s="24">
        <f>SUMIFS(Expense_Tracker_Table[Amount Spent],Expense_Tracker_Table[Expense Date],"&gt;="&amp;T587,Expense_Tracker_Table[Expense Date],"&lt;="&amp;U587)</f>
        <v>0</v>
      </c>
    </row>
    <row r="588" spans="20:22" x14ac:dyDescent="0.3">
      <c r="T588" s="25">
        <v>61271</v>
      </c>
      <c r="U588" s="25">
        <f t="shared" si="10"/>
        <v>61301</v>
      </c>
      <c r="V588" s="24">
        <f>SUMIFS(Expense_Tracker_Table[Amount Spent],Expense_Tracker_Table[Expense Date],"&gt;="&amp;T588,Expense_Tracker_Table[Expense Date],"&lt;="&amp;U588)</f>
        <v>0</v>
      </c>
    </row>
    <row r="589" spans="20:22" x14ac:dyDescent="0.3">
      <c r="T589" s="25">
        <v>61302</v>
      </c>
      <c r="U589" s="25">
        <f t="shared" si="10"/>
        <v>61331</v>
      </c>
      <c r="V589" s="24">
        <f>SUMIFS(Expense_Tracker_Table[Amount Spent],Expense_Tracker_Table[Expense Date],"&gt;="&amp;T589,Expense_Tracker_Table[Expense Date],"&lt;="&amp;U589)</f>
        <v>0</v>
      </c>
    </row>
    <row r="590" spans="20:22" x14ac:dyDescent="0.3">
      <c r="T590" s="25">
        <v>61332</v>
      </c>
      <c r="U590" s="25">
        <f t="shared" si="10"/>
        <v>61362</v>
      </c>
      <c r="V590" s="24">
        <f>SUMIFS(Expense_Tracker_Table[Amount Spent],Expense_Tracker_Table[Expense Date],"&gt;="&amp;T590,Expense_Tracker_Table[Expense Date],"&lt;="&amp;U590)</f>
        <v>0</v>
      </c>
    </row>
    <row r="591" spans="20:22" x14ac:dyDescent="0.3">
      <c r="T591" s="25">
        <v>61363</v>
      </c>
      <c r="U591" s="25">
        <f t="shared" si="10"/>
        <v>61393</v>
      </c>
      <c r="V591" s="24">
        <f>SUMIFS(Expense_Tracker_Table[Amount Spent],Expense_Tracker_Table[Expense Date],"&gt;="&amp;T591,Expense_Tracker_Table[Expense Date],"&lt;="&amp;U591)</f>
        <v>0</v>
      </c>
    </row>
    <row r="592" spans="20:22" x14ac:dyDescent="0.3">
      <c r="T592" s="25">
        <v>61394</v>
      </c>
      <c r="U592" s="25">
        <f t="shared" si="10"/>
        <v>61422</v>
      </c>
      <c r="V592" s="24">
        <f>SUMIFS(Expense_Tracker_Table[Amount Spent],Expense_Tracker_Table[Expense Date],"&gt;="&amp;T592,Expense_Tracker_Table[Expense Date],"&lt;="&amp;U592)</f>
        <v>0</v>
      </c>
    </row>
    <row r="593" spans="20:22" x14ac:dyDescent="0.3">
      <c r="T593" s="25">
        <v>61423</v>
      </c>
      <c r="U593" s="25">
        <f t="shared" si="10"/>
        <v>61453</v>
      </c>
      <c r="V593" s="24">
        <f>SUMIFS(Expense_Tracker_Table[Amount Spent],Expense_Tracker_Table[Expense Date],"&gt;="&amp;T593,Expense_Tracker_Table[Expense Date],"&lt;="&amp;U593)</f>
        <v>0</v>
      </c>
    </row>
    <row r="594" spans="20:22" x14ac:dyDescent="0.3">
      <c r="T594" s="25">
        <v>61454</v>
      </c>
      <c r="U594" s="25">
        <f t="shared" si="10"/>
        <v>61483</v>
      </c>
      <c r="V594" s="24">
        <f>SUMIFS(Expense_Tracker_Table[Amount Spent],Expense_Tracker_Table[Expense Date],"&gt;="&amp;T594,Expense_Tracker_Table[Expense Date],"&lt;="&amp;U594)</f>
        <v>0</v>
      </c>
    </row>
    <row r="595" spans="20:22" x14ac:dyDescent="0.3">
      <c r="T595" s="25">
        <v>61484</v>
      </c>
      <c r="U595" s="25">
        <f t="shared" si="10"/>
        <v>61514</v>
      </c>
      <c r="V595" s="24">
        <f>SUMIFS(Expense_Tracker_Table[Amount Spent],Expense_Tracker_Table[Expense Date],"&gt;="&amp;T595,Expense_Tracker_Table[Expense Date],"&lt;="&amp;U595)</f>
        <v>0</v>
      </c>
    </row>
    <row r="596" spans="20:22" x14ac:dyDescent="0.3">
      <c r="T596" s="25">
        <v>61515</v>
      </c>
      <c r="U596" s="25">
        <f t="shared" si="10"/>
        <v>61544</v>
      </c>
      <c r="V596" s="24">
        <f>SUMIFS(Expense_Tracker_Table[Amount Spent],Expense_Tracker_Table[Expense Date],"&gt;="&amp;T596,Expense_Tracker_Table[Expense Date],"&lt;="&amp;U596)</f>
        <v>0</v>
      </c>
    </row>
    <row r="597" spans="20:22" x14ac:dyDescent="0.3">
      <c r="T597" s="25">
        <v>61545</v>
      </c>
      <c r="U597" s="25">
        <f t="shared" si="10"/>
        <v>61575</v>
      </c>
      <c r="V597" s="24">
        <f>SUMIFS(Expense_Tracker_Table[Amount Spent],Expense_Tracker_Table[Expense Date],"&gt;="&amp;T597,Expense_Tracker_Table[Expense Date],"&lt;="&amp;U597)</f>
        <v>0</v>
      </c>
    </row>
    <row r="598" spans="20:22" x14ac:dyDescent="0.3">
      <c r="T598" s="25">
        <v>61576</v>
      </c>
      <c r="U598" s="25">
        <f t="shared" si="10"/>
        <v>61606</v>
      </c>
      <c r="V598" s="24">
        <f>SUMIFS(Expense_Tracker_Table[Amount Spent],Expense_Tracker_Table[Expense Date],"&gt;="&amp;T598,Expense_Tracker_Table[Expense Date],"&lt;="&amp;U598)</f>
        <v>0</v>
      </c>
    </row>
    <row r="599" spans="20:22" x14ac:dyDescent="0.3">
      <c r="T599" s="25">
        <v>61607</v>
      </c>
      <c r="U599" s="25">
        <f t="shared" si="10"/>
        <v>61636</v>
      </c>
      <c r="V599" s="24">
        <f>SUMIFS(Expense_Tracker_Table[Amount Spent],Expense_Tracker_Table[Expense Date],"&gt;="&amp;T599,Expense_Tracker_Table[Expense Date],"&lt;="&amp;U599)</f>
        <v>0</v>
      </c>
    </row>
    <row r="600" spans="20:22" x14ac:dyDescent="0.3">
      <c r="T600" s="25">
        <v>61637</v>
      </c>
      <c r="U600" s="25">
        <f t="shared" si="10"/>
        <v>61667</v>
      </c>
      <c r="V600" s="24">
        <f>SUMIFS(Expense_Tracker_Table[Amount Spent],Expense_Tracker_Table[Expense Date],"&gt;="&amp;T600,Expense_Tracker_Table[Expense Date],"&lt;="&amp;U600)</f>
        <v>0</v>
      </c>
    </row>
    <row r="601" spans="20:22" x14ac:dyDescent="0.3">
      <c r="T601" s="25">
        <v>61668</v>
      </c>
      <c r="U601" s="25">
        <f t="shared" si="10"/>
        <v>61697</v>
      </c>
      <c r="V601" s="24">
        <f>SUMIFS(Expense_Tracker_Table[Amount Spent],Expense_Tracker_Table[Expense Date],"&gt;="&amp;T601,Expense_Tracker_Table[Expense Date],"&lt;="&amp;U601)</f>
        <v>0</v>
      </c>
    </row>
    <row r="602" spans="20:22" x14ac:dyDescent="0.3">
      <c r="T602" s="25">
        <v>61698</v>
      </c>
      <c r="U602" s="25">
        <f t="shared" si="10"/>
        <v>61728</v>
      </c>
      <c r="V602" s="24">
        <f>SUMIFS(Expense_Tracker_Table[Amount Spent],Expense_Tracker_Table[Expense Date],"&gt;="&amp;T602,Expense_Tracker_Table[Expense Date],"&lt;="&amp;U602)</f>
        <v>0</v>
      </c>
    </row>
    <row r="603" spans="20:22" x14ac:dyDescent="0.3">
      <c r="T603" s="25">
        <v>61729</v>
      </c>
      <c r="U603" s="25">
        <f t="shared" si="10"/>
        <v>61759</v>
      </c>
      <c r="V603" s="24">
        <f>SUMIFS(Expense_Tracker_Table[Amount Spent],Expense_Tracker_Table[Expense Date],"&gt;="&amp;T603,Expense_Tracker_Table[Expense Date],"&lt;="&amp;U603)</f>
        <v>0</v>
      </c>
    </row>
    <row r="604" spans="20:22" x14ac:dyDescent="0.3">
      <c r="T604" s="25">
        <v>61760</v>
      </c>
      <c r="U604" s="25">
        <f t="shared" si="10"/>
        <v>61787</v>
      </c>
      <c r="V604" s="24">
        <f>SUMIFS(Expense_Tracker_Table[Amount Spent],Expense_Tracker_Table[Expense Date],"&gt;="&amp;T604,Expense_Tracker_Table[Expense Date],"&lt;="&amp;U604)</f>
        <v>0</v>
      </c>
    </row>
    <row r="605" spans="20:22" x14ac:dyDescent="0.3">
      <c r="T605" s="25">
        <v>61788</v>
      </c>
      <c r="U605" s="25">
        <f t="shared" si="10"/>
        <v>61818</v>
      </c>
      <c r="V605" s="24">
        <f>SUMIFS(Expense_Tracker_Table[Amount Spent],Expense_Tracker_Table[Expense Date],"&gt;="&amp;T605,Expense_Tracker_Table[Expense Date],"&lt;="&amp;U605)</f>
        <v>0</v>
      </c>
    </row>
    <row r="606" spans="20:22" x14ac:dyDescent="0.3">
      <c r="T606" s="25">
        <v>61819</v>
      </c>
      <c r="U606" s="25">
        <f t="shared" si="10"/>
        <v>61848</v>
      </c>
      <c r="V606" s="24">
        <f>SUMIFS(Expense_Tracker_Table[Amount Spent],Expense_Tracker_Table[Expense Date],"&gt;="&amp;T606,Expense_Tracker_Table[Expense Date],"&lt;="&amp;U606)</f>
        <v>0</v>
      </c>
    </row>
    <row r="607" spans="20:22" x14ac:dyDescent="0.3">
      <c r="T607" s="25">
        <v>61849</v>
      </c>
      <c r="U607" s="25">
        <f t="shared" si="10"/>
        <v>61879</v>
      </c>
      <c r="V607" s="24">
        <f>SUMIFS(Expense_Tracker_Table[Amount Spent],Expense_Tracker_Table[Expense Date],"&gt;="&amp;T607,Expense_Tracker_Table[Expense Date],"&lt;="&amp;U607)</f>
        <v>0</v>
      </c>
    </row>
    <row r="608" spans="20:22" x14ac:dyDescent="0.3">
      <c r="T608" s="25">
        <v>61880</v>
      </c>
      <c r="U608" s="25">
        <f t="shared" si="10"/>
        <v>61909</v>
      </c>
      <c r="V608" s="24">
        <f>SUMIFS(Expense_Tracker_Table[Amount Spent],Expense_Tracker_Table[Expense Date],"&gt;="&amp;T608,Expense_Tracker_Table[Expense Date],"&lt;="&amp;U608)</f>
        <v>0</v>
      </c>
    </row>
    <row r="609" spans="20:22" x14ac:dyDescent="0.3">
      <c r="T609" s="25">
        <v>61910</v>
      </c>
      <c r="U609" s="25">
        <f t="shared" si="10"/>
        <v>61940</v>
      </c>
      <c r="V609" s="24">
        <f>SUMIFS(Expense_Tracker_Table[Amount Spent],Expense_Tracker_Table[Expense Date],"&gt;="&amp;T609,Expense_Tracker_Table[Expense Date],"&lt;="&amp;U609)</f>
        <v>0</v>
      </c>
    </row>
    <row r="610" spans="20:22" x14ac:dyDescent="0.3">
      <c r="T610" s="25">
        <v>61941</v>
      </c>
      <c r="U610" s="25">
        <f t="shared" si="10"/>
        <v>61971</v>
      </c>
      <c r="V610" s="24">
        <f>SUMIFS(Expense_Tracker_Table[Amount Spent],Expense_Tracker_Table[Expense Date],"&gt;="&amp;T610,Expense_Tracker_Table[Expense Date],"&lt;="&amp;U610)</f>
        <v>0</v>
      </c>
    </row>
    <row r="611" spans="20:22" x14ac:dyDescent="0.3">
      <c r="T611" s="25">
        <v>61972</v>
      </c>
      <c r="U611" s="25">
        <f t="shared" si="10"/>
        <v>62001</v>
      </c>
      <c r="V611" s="24">
        <f>SUMIFS(Expense_Tracker_Table[Amount Spent],Expense_Tracker_Table[Expense Date],"&gt;="&amp;T611,Expense_Tracker_Table[Expense Date],"&lt;="&amp;U611)</f>
        <v>0</v>
      </c>
    </row>
    <row r="612" spans="20:22" x14ac:dyDescent="0.3">
      <c r="T612" s="25">
        <v>62002</v>
      </c>
      <c r="U612" s="25">
        <f t="shared" si="10"/>
        <v>62032</v>
      </c>
      <c r="V612" s="24">
        <f>SUMIFS(Expense_Tracker_Table[Amount Spent],Expense_Tracker_Table[Expense Date],"&gt;="&amp;T612,Expense_Tracker_Table[Expense Date],"&lt;="&amp;U612)</f>
        <v>0</v>
      </c>
    </row>
    <row r="613" spans="20:22" x14ac:dyDescent="0.3">
      <c r="T613" s="25">
        <v>62033</v>
      </c>
      <c r="U613" s="25">
        <f t="shared" si="10"/>
        <v>62062</v>
      </c>
      <c r="V613" s="24">
        <f>SUMIFS(Expense_Tracker_Table[Amount Spent],Expense_Tracker_Table[Expense Date],"&gt;="&amp;T613,Expense_Tracker_Table[Expense Date],"&lt;="&amp;U613)</f>
        <v>0</v>
      </c>
    </row>
    <row r="614" spans="20:22" x14ac:dyDescent="0.3">
      <c r="T614" s="25">
        <v>62063</v>
      </c>
      <c r="U614" s="25">
        <f t="shared" si="10"/>
        <v>62093</v>
      </c>
      <c r="V614" s="24">
        <f>SUMIFS(Expense_Tracker_Table[Amount Spent],Expense_Tracker_Table[Expense Date],"&gt;="&amp;T614,Expense_Tracker_Table[Expense Date],"&lt;="&amp;U614)</f>
        <v>0</v>
      </c>
    </row>
    <row r="615" spans="20:22" x14ac:dyDescent="0.3">
      <c r="T615" s="25">
        <v>62094</v>
      </c>
      <c r="U615" s="25">
        <f t="shared" si="10"/>
        <v>62124</v>
      </c>
      <c r="V615" s="24">
        <f>SUMIFS(Expense_Tracker_Table[Amount Spent],Expense_Tracker_Table[Expense Date],"&gt;="&amp;T615,Expense_Tracker_Table[Expense Date],"&lt;="&amp;U615)</f>
        <v>0</v>
      </c>
    </row>
    <row r="616" spans="20:22" x14ac:dyDescent="0.3">
      <c r="T616" s="25">
        <v>62125</v>
      </c>
      <c r="U616" s="25">
        <f t="shared" si="10"/>
        <v>62152</v>
      </c>
      <c r="V616" s="24">
        <f>SUMIFS(Expense_Tracker_Table[Amount Spent],Expense_Tracker_Table[Expense Date],"&gt;="&amp;T616,Expense_Tracker_Table[Expense Date],"&lt;="&amp;U616)</f>
        <v>0</v>
      </c>
    </row>
    <row r="617" spans="20:22" x14ac:dyDescent="0.3">
      <c r="T617" s="25">
        <v>62153</v>
      </c>
      <c r="U617" s="25">
        <f t="shared" si="10"/>
        <v>62183</v>
      </c>
      <c r="V617" s="24">
        <f>SUMIFS(Expense_Tracker_Table[Amount Spent],Expense_Tracker_Table[Expense Date],"&gt;="&amp;T617,Expense_Tracker_Table[Expense Date],"&lt;="&amp;U617)</f>
        <v>0</v>
      </c>
    </row>
    <row r="618" spans="20:22" x14ac:dyDescent="0.3">
      <c r="T618" s="25">
        <v>62184</v>
      </c>
      <c r="U618" s="25">
        <f t="shared" si="10"/>
        <v>62213</v>
      </c>
      <c r="V618" s="24">
        <f>SUMIFS(Expense_Tracker_Table[Amount Spent],Expense_Tracker_Table[Expense Date],"&gt;="&amp;T618,Expense_Tracker_Table[Expense Date],"&lt;="&amp;U618)</f>
        <v>0</v>
      </c>
    </row>
    <row r="619" spans="20:22" x14ac:dyDescent="0.3">
      <c r="T619" s="25">
        <v>62214</v>
      </c>
      <c r="U619" s="25">
        <f t="shared" si="10"/>
        <v>62244</v>
      </c>
      <c r="V619" s="24">
        <f>SUMIFS(Expense_Tracker_Table[Amount Spent],Expense_Tracker_Table[Expense Date],"&gt;="&amp;T619,Expense_Tracker_Table[Expense Date],"&lt;="&amp;U619)</f>
        <v>0</v>
      </c>
    </row>
    <row r="620" spans="20:22" x14ac:dyDescent="0.3">
      <c r="T620" s="25">
        <v>62245</v>
      </c>
      <c r="U620" s="25">
        <f t="shared" si="10"/>
        <v>62274</v>
      </c>
      <c r="V620" s="24">
        <f>SUMIFS(Expense_Tracker_Table[Amount Spent],Expense_Tracker_Table[Expense Date],"&gt;="&amp;T620,Expense_Tracker_Table[Expense Date],"&lt;="&amp;U620)</f>
        <v>0</v>
      </c>
    </row>
    <row r="621" spans="20:22" x14ac:dyDescent="0.3">
      <c r="T621" s="25">
        <v>62275</v>
      </c>
      <c r="U621" s="25">
        <f t="shared" si="10"/>
        <v>62305</v>
      </c>
      <c r="V621" s="24">
        <f>SUMIFS(Expense_Tracker_Table[Amount Spent],Expense_Tracker_Table[Expense Date],"&gt;="&amp;T621,Expense_Tracker_Table[Expense Date],"&lt;="&amp;U621)</f>
        <v>0</v>
      </c>
    </row>
    <row r="622" spans="20:22" x14ac:dyDescent="0.3">
      <c r="T622" s="25">
        <v>62306</v>
      </c>
      <c r="U622" s="25">
        <f t="shared" si="10"/>
        <v>62336</v>
      </c>
      <c r="V622" s="24">
        <f>SUMIFS(Expense_Tracker_Table[Amount Spent],Expense_Tracker_Table[Expense Date],"&gt;="&amp;T622,Expense_Tracker_Table[Expense Date],"&lt;="&amp;U622)</f>
        <v>0</v>
      </c>
    </row>
    <row r="623" spans="20:22" x14ac:dyDescent="0.3">
      <c r="T623" s="25">
        <v>62337</v>
      </c>
      <c r="U623" s="25">
        <f t="shared" si="10"/>
        <v>62366</v>
      </c>
      <c r="V623" s="24">
        <f>SUMIFS(Expense_Tracker_Table[Amount Spent],Expense_Tracker_Table[Expense Date],"&gt;="&amp;T623,Expense_Tracker_Table[Expense Date],"&lt;="&amp;U623)</f>
        <v>0</v>
      </c>
    </row>
    <row r="624" spans="20:22" x14ac:dyDescent="0.3">
      <c r="T624" s="25">
        <v>62367</v>
      </c>
      <c r="U624" s="25">
        <f t="shared" si="10"/>
        <v>62397</v>
      </c>
      <c r="V624" s="24">
        <f>SUMIFS(Expense_Tracker_Table[Amount Spent],Expense_Tracker_Table[Expense Date],"&gt;="&amp;T624,Expense_Tracker_Table[Expense Date],"&lt;="&amp;U624)</f>
        <v>0</v>
      </c>
    </row>
    <row r="625" spans="20:22" x14ac:dyDescent="0.3">
      <c r="T625" s="25">
        <v>62398</v>
      </c>
      <c r="U625" s="25">
        <f t="shared" si="10"/>
        <v>62427</v>
      </c>
      <c r="V625" s="24">
        <f>SUMIFS(Expense_Tracker_Table[Amount Spent],Expense_Tracker_Table[Expense Date],"&gt;="&amp;T625,Expense_Tracker_Table[Expense Date],"&lt;="&amp;U625)</f>
        <v>0</v>
      </c>
    </row>
    <row r="626" spans="20:22" x14ac:dyDescent="0.3">
      <c r="T626" s="25">
        <v>62428</v>
      </c>
      <c r="U626" s="25">
        <f t="shared" si="10"/>
        <v>62458</v>
      </c>
      <c r="V626" s="24">
        <f>SUMIFS(Expense_Tracker_Table[Amount Spent],Expense_Tracker_Table[Expense Date],"&gt;="&amp;T626,Expense_Tracker_Table[Expense Date],"&lt;="&amp;U626)</f>
        <v>0</v>
      </c>
    </row>
    <row r="627" spans="20:22" x14ac:dyDescent="0.3">
      <c r="T627" s="25">
        <v>62459</v>
      </c>
      <c r="U627" s="25">
        <f t="shared" si="10"/>
        <v>62489</v>
      </c>
      <c r="V627" s="24">
        <f>SUMIFS(Expense_Tracker_Table[Amount Spent],Expense_Tracker_Table[Expense Date],"&gt;="&amp;T627,Expense_Tracker_Table[Expense Date],"&lt;="&amp;U627)</f>
        <v>0</v>
      </c>
    </row>
    <row r="628" spans="20:22" x14ac:dyDescent="0.3">
      <c r="T628" s="25">
        <v>62490</v>
      </c>
      <c r="U628" s="25">
        <f t="shared" si="10"/>
        <v>62517</v>
      </c>
      <c r="V628" s="24">
        <f>SUMIFS(Expense_Tracker_Table[Amount Spent],Expense_Tracker_Table[Expense Date],"&gt;="&amp;T628,Expense_Tracker_Table[Expense Date],"&lt;="&amp;U628)</f>
        <v>0</v>
      </c>
    </row>
    <row r="629" spans="20:22" x14ac:dyDescent="0.3">
      <c r="T629" s="25">
        <v>62518</v>
      </c>
      <c r="U629" s="25">
        <f t="shared" si="10"/>
        <v>62548</v>
      </c>
      <c r="V629" s="24">
        <f>SUMIFS(Expense_Tracker_Table[Amount Spent],Expense_Tracker_Table[Expense Date],"&gt;="&amp;T629,Expense_Tracker_Table[Expense Date],"&lt;="&amp;U629)</f>
        <v>0</v>
      </c>
    </row>
    <row r="630" spans="20:22" x14ac:dyDescent="0.3">
      <c r="T630" s="25">
        <v>62549</v>
      </c>
      <c r="U630" s="25">
        <f t="shared" si="10"/>
        <v>62578</v>
      </c>
      <c r="V630" s="24">
        <f>SUMIFS(Expense_Tracker_Table[Amount Spent],Expense_Tracker_Table[Expense Date],"&gt;="&amp;T630,Expense_Tracker_Table[Expense Date],"&lt;="&amp;U630)</f>
        <v>0</v>
      </c>
    </row>
    <row r="631" spans="20:22" x14ac:dyDescent="0.3">
      <c r="T631" s="25">
        <v>62579</v>
      </c>
      <c r="U631" s="25">
        <f t="shared" si="10"/>
        <v>62609</v>
      </c>
      <c r="V631" s="24">
        <f>SUMIFS(Expense_Tracker_Table[Amount Spent],Expense_Tracker_Table[Expense Date],"&gt;="&amp;T631,Expense_Tracker_Table[Expense Date],"&lt;="&amp;U631)</f>
        <v>0</v>
      </c>
    </row>
    <row r="632" spans="20:22" x14ac:dyDescent="0.3">
      <c r="T632" s="25">
        <v>62610</v>
      </c>
      <c r="U632" s="25">
        <f t="shared" si="10"/>
        <v>62639</v>
      </c>
      <c r="V632" s="24">
        <f>SUMIFS(Expense_Tracker_Table[Amount Spent],Expense_Tracker_Table[Expense Date],"&gt;="&amp;T632,Expense_Tracker_Table[Expense Date],"&lt;="&amp;U632)</f>
        <v>0</v>
      </c>
    </row>
    <row r="633" spans="20:22" x14ac:dyDescent="0.3">
      <c r="T633" s="25">
        <v>62640</v>
      </c>
      <c r="U633" s="25">
        <f t="shared" si="10"/>
        <v>62670</v>
      </c>
      <c r="V633" s="24">
        <f>SUMIFS(Expense_Tracker_Table[Amount Spent],Expense_Tracker_Table[Expense Date],"&gt;="&amp;T633,Expense_Tracker_Table[Expense Date],"&lt;="&amp;U633)</f>
        <v>0</v>
      </c>
    </row>
    <row r="634" spans="20:22" x14ac:dyDescent="0.3">
      <c r="T634" s="25">
        <v>62671</v>
      </c>
      <c r="U634" s="25">
        <f t="shared" si="10"/>
        <v>62701</v>
      </c>
      <c r="V634" s="24">
        <f>SUMIFS(Expense_Tracker_Table[Amount Spent],Expense_Tracker_Table[Expense Date],"&gt;="&amp;T634,Expense_Tracker_Table[Expense Date],"&lt;="&amp;U634)</f>
        <v>0</v>
      </c>
    </row>
    <row r="635" spans="20:22" x14ac:dyDescent="0.3">
      <c r="T635" s="25">
        <v>62702</v>
      </c>
      <c r="U635" s="25">
        <f t="shared" si="10"/>
        <v>62731</v>
      </c>
      <c r="V635" s="24">
        <f>SUMIFS(Expense_Tracker_Table[Amount Spent],Expense_Tracker_Table[Expense Date],"&gt;="&amp;T635,Expense_Tracker_Table[Expense Date],"&lt;="&amp;U635)</f>
        <v>0</v>
      </c>
    </row>
    <row r="636" spans="20:22" x14ac:dyDescent="0.3">
      <c r="T636" s="25">
        <v>62732</v>
      </c>
      <c r="U636" s="25">
        <f t="shared" si="10"/>
        <v>62762</v>
      </c>
      <c r="V636" s="24">
        <f>SUMIFS(Expense_Tracker_Table[Amount Spent],Expense_Tracker_Table[Expense Date],"&gt;="&amp;T636,Expense_Tracker_Table[Expense Date],"&lt;="&amp;U636)</f>
        <v>0</v>
      </c>
    </row>
    <row r="637" spans="20:22" x14ac:dyDescent="0.3">
      <c r="T637" s="25">
        <v>62763</v>
      </c>
      <c r="U637" s="25">
        <f t="shared" si="10"/>
        <v>62792</v>
      </c>
      <c r="V637" s="24">
        <f>SUMIFS(Expense_Tracker_Table[Amount Spent],Expense_Tracker_Table[Expense Date],"&gt;="&amp;T637,Expense_Tracker_Table[Expense Date],"&lt;="&amp;U637)</f>
        <v>0</v>
      </c>
    </row>
    <row r="638" spans="20:22" x14ac:dyDescent="0.3">
      <c r="T638" s="25">
        <v>62793</v>
      </c>
      <c r="U638" s="25">
        <f t="shared" si="10"/>
        <v>62823</v>
      </c>
      <c r="V638" s="24">
        <f>SUMIFS(Expense_Tracker_Table[Amount Spent],Expense_Tracker_Table[Expense Date],"&gt;="&amp;T638,Expense_Tracker_Table[Expense Date],"&lt;="&amp;U638)</f>
        <v>0</v>
      </c>
    </row>
    <row r="639" spans="20:22" x14ac:dyDescent="0.3">
      <c r="T639" s="25">
        <v>62824</v>
      </c>
      <c r="U639" s="25">
        <f t="shared" si="10"/>
        <v>62854</v>
      </c>
      <c r="V639" s="24">
        <f>SUMIFS(Expense_Tracker_Table[Amount Spent],Expense_Tracker_Table[Expense Date],"&gt;="&amp;T639,Expense_Tracker_Table[Expense Date],"&lt;="&amp;U639)</f>
        <v>0</v>
      </c>
    </row>
    <row r="640" spans="20:22" x14ac:dyDescent="0.3">
      <c r="T640" s="25">
        <v>62855</v>
      </c>
      <c r="U640" s="25">
        <f t="shared" si="10"/>
        <v>62883</v>
      </c>
      <c r="V640" s="24">
        <f>SUMIFS(Expense_Tracker_Table[Amount Spent],Expense_Tracker_Table[Expense Date],"&gt;="&amp;T640,Expense_Tracker_Table[Expense Date],"&lt;="&amp;U640)</f>
        <v>0</v>
      </c>
    </row>
    <row r="641" spans="20:22" x14ac:dyDescent="0.3">
      <c r="T641" s="25">
        <v>62884</v>
      </c>
      <c r="U641" s="25">
        <f t="shared" si="10"/>
        <v>62914</v>
      </c>
      <c r="V641" s="24">
        <f>SUMIFS(Expense_Tracker_Table[Amount Spent],Expense_Tracker_Table[Expense Date],"&gt;="&amp;T641,Expense_Tracker_Table[Expense Date],"&lt;="&amp;U641)</f>
        <v>0</v>
      </c>
    </row>
    <row r="642" spans="20:22" x14ac:dyDescent="0.3">
      <c r="T642" s="25">
        <v>62915</v>
      </c>
      <c r="U642" s="25">
        <f t="shared" si="10"/>
        <v>62944</v>
      </c>
      <c r="V642" s="24">
        <f>SUMIFS(Expense_Tracker_Table[Amount Spent],Expense_Tracker_Table[Expense Date],"&gt;="&amp;T642,Expense_Tracker_Table[Expense Date],"&lt;="&amp;U642)</f>
        <v>0</v>
      </c>
    </row>
    <row r="643" spans="20:22" x14ac:dyDescent="0.3">
      <c r="T643" s="25">
        <v>62945</v>
      </c>
      <c r="U643" s="25">
        <f t="shared" si="10"/>
        <v>62975</v>
      </c>
      <c r="V643" s="24">
        <f>SUMIFS(Expense_Tracker_Table[Amount Spent],Expense_Tracker_Table[Expense Date],"&gt;="&amp;T643,Expense_Tracker_Table[Expense Date],"&lt;="&amp;U643)</f>
        <v>0</v>
      </c>
    </row>
    <row r="644" spans="20:22" x14ac:dyDescent="0.3">
      <c r="T644" s="25">
        <v>62976</v>
      </c>
      <c r="U644" s="25">
        <f t="shared" si="10"/>
        <v>63005</v>
      </c>
      <c r="V644" s="24">
        <f>SUMIFS(Expense_Tracker_Table[Amount Spent],Expense_Tracker_Table[Expense Date],"&gt;="&amp;T644,Expense_Tracker_Table[Expense Date],"&lt;="&amp;U644)</f>
        <v>0</v>
      </c>
    </row>
    <row r="645" spans="20:22" x14ac:dyDescent="0.3">
      <c r="T645" s="25">
        <v>63006</v>
      </c>
      <c r="U645" s="25">
        <f t="shared" si="10"/>
        <v>63036</v>
      </c>
      <c r="V645" s="24">
        <f>SUMIFS(Expense_Tracker_Table[Amount Spent],Expense_Tracker_Table[Expense Date],"&gt;="&amp;T645,Expense_Tracker_Table[Expense Date],"&lt;="&amp;U645)</f>
        <v>0</v>
      </c>
    </row>
    <row r="646" spans="20:22" x14ac:dyDescent="0.3">
      <c r="T646" s="25">
        <v>63037</v>
      </c>
      <c r="U646" s="25">
        <f t="shared" si="10"/>
        <v>63067</v>
      </c>
      <c r="V646" s="24">
        <f>SUMIFS(Expense_Tracker_Table[Amount Spent],Expense_Tracker_Table[Expense Date],"&gt;="&amp;T646,Expense_Tracker_Table[Expense Date],"&lt;="&amp;U646)</f>
        <v>0</v>
      </c>
    </row>
    <row r="647" spans="20:22" x14ac:dyDescent="0.3">
      <c r="T647" s="25">
        <v>63068</v>
      </c>
      <c r="U647" s="25">
        <f t="shared" si="10"/>
        <v>63097</v>
      </c>
      <c r="V647" s="24">
        <f>SUMIFS(Expense_Tracker_Table[Amount Spent],Expense_Tracker_Table[Expense Date],"&gt;="&amp;T647,Expense_Tracker_Table[Expense Date],"&lt;="&amp;U647)</f>
        <v>0</v>
      </c>
    </row>
    <row r="648" spans="20:22" x14ac:dyDescent="0.3">
      <c r="T648" s="25">
        <v>63098</v>
      </c>
      <c r="U648" s="25">
        <f t="shared" si="10"/>
        <v>63128</v>
      </c>
      <c r="V648" s="24">
        <f>SUMIFS(Expense_Tracker_Table[Amount Spent],Expense_Tracker_Table[Expense Date],"&gt;="&amp;T648,Expense_Tracker_Table[Expense Date],"&lt;="&amp;U648)</f>
        <v>0</v>
      </c>
    </row>
    <row r="649" spans="20:22" x14ac:dyDescent="0.3">
      <c r="T649" s="25">
        <v>63129</v>
      </c>
      <c r="U649" s="25">
        <f t="shared" ref="U649:U712" si="11">EOMONTH(T649,0)</f>
        <v>63158</v>
      </c>
      <c r="V649" s="24">
        <f>SUMIFS(Expense_Tracker_Table[Amount Spent],Expense_Tracker_Table[Expense Date],"&gt;="&amp;T649,Expense_Tracker_Table[Expense Date],"&lt;="&amp;U649)</f>
        <v>0</v>
      </c>
    </row>
    <row r="650" spans="20:22" x14ac:dyDescent="0.3">
      <c r="T650" s="25">
        <v>63159</v>
      </c>
      <c r="U650" s="25">
        <f t="shared" si="11"/>
        <v>63189</v>
      </c>
      <c r="V650" s="24">
        <f>SUMIFS(Expense_Tracker_Table[Amount Spent],Expense_Tracker_Table[Expense Date],"&gt;="&amp;T650,Expense_Tracker_Table[Expense Date],"&lt;="&amp;U650)</f>
        <v>0</v>
      </c>
    </row>
    <row r="651" spans="20:22" x14ac:dyDescent="0.3">
      <c r="T651" s="25">
        <v>63190</v>
      </c>
      <c r="U651" s="25">
        <f t="shared" si="11"/>
        <v>63220</v>
      </c>
      <c r="V651" s="24">
        <f>SUMIFS(Expense_Tracker_Table[Amount Spent],Expense_Tracker_Table[Expense Date],"&gt;="&amp;T651,Expense_Tracker_Table[Expense Date],"&lt;="&amp;U651)</f>
        <v>0</v>
      </c>
    </row>
    <row r="652" spans="20:22" x14ac:dyDescent="0.3">
      <c r="T652" s="25">
        <v>63221</v>
      </c>
      <c r="U652" s="25">
        <f t="shared" si="11"/>
        <v>63248</v>
      </c>
      <c r="V652" s="24">
        <f>SUMIFS(Expense_Tracker_Table[Amount Spent],Expense_Tracker_Table[Expense Date],"&gt;="&amp;T652,Expense_Tracker_Table[Expense Date],"&lt;="&amp;U652)</f>
        <v>0</v>
      </c>
    </row>
    <row r="653" spans="20:22" x14ac:dyDescent="0.3">
      <c r="T653" s="25">
        <v>63249</v>
      </c>
      <c r="U653" s="25">
        <f t="shared" si="11"/>
        <v>63279</v>
      </c>
      <c r="V653" s="24">
        <f>SUMIFS(Expense_Tracker_Table[Amount Spent],Expense_Tracker_Table[Expense Date],"&gt;="&amp;T653,Expense_Tracker_Table[Expense Date],"&lt;="&amp;U653)</f>
        <v>0</v>
      </c>
    </row>
    <row r="654" spans="20:22" x14ac:dyDescent="0.3">
      <c r="T654" s="25">
        <v>63280</v>
      </c>
      <c r="U654" s="25">
        <f t="shared" si="11"/>
        <v>63309</v>
      </c>
      <c r="V654" s="24">
        <f>SUMIFS(Expense_Tracker_Table[Amount Spent],Expense_Tracker_Table[Expense Date],"&gt;="&amp;T654,Expense_Tracker_Table[Expense Date],"&lt;="&amp;U654)</f>
        <v>0</v>
      </c>
    </row>
    <row r="655" spans="20:22" x14ac:dyDescent="0.3">
      <c r="T655" s="25">
        <v>63310</v>
      </c>
      <c r="U655" s="25">
        <f t="shared" si="11"/>
        <v>63340</v>
      </c>
      <c r="V655" s="24">
        <f>SUMIFS(Expense_Tracker_Table[Amount Spent],Expense_Tracker_Table[Expense Date],"&gt;="&amp;T655,Expense_Tracker_Table[Expense Date],"&lt;="&amp;U655)</f>
        <v>0</v>
      </c>
    </row>
    <row r="656" spans="20:22" x14ac:dyDescent="0.3">
      <c r="T656" s="25">
        <v>63341</v>
      </c>
      <c r="U656" s="25">
        <f t="shared" si="11"/>
        <v>63370</v>
      </c>
      <c r="V656" s="24">
        <f>SUMIFS(Expense_Tracker_Table[Amount Spent],Expense_Tracker_Table[Expense Date],"&gt;="&amp;T656,Expense_Tracker_Table[Expense Date],"&lt;="&amp;U656)</f>
        <v>0</v>
      </c>
    </row>
    <row r="657" spans="20:22" x14ac:dyDescent="0.3">
      <c r="T657" s="25">
        <v>63371</v>
      </c>
      <c r="U657" s="25">
        <f t="shared" si="11"/>
        <v>63401</v>
      </c>
      <c r="V657" s="24">
        <f>SUMIFS(Expense_Tracker_Table[Amount Spent],Expense_Tracker_Table[Expense Date],"&gt;="&amp;T657,Expense_Tracker_Table[Expense Date],"&lt;="&amp;U657)</f>
        <v>0</v>
      </c>
    </row>
    <row r="658" spans="20:22" x14ac:dyDescent="0.3">
      <c r="T658" s="25">
        <v>63402</v>
      </c>
      <c r="U658" s="25">
        <f t="shared" si="11"/>
        <v>63432</v>
      </c>
      <c r="V658" s="24">
        <f>SUMIFS(Expense_Tracker_Table[Amount Spent],Expense_Tracker_Table[Expense Date],"&gt;="&amp;T658,Expense_Tracker_Table[Expense Date],"&lt;="&amp;U658)</f>
        <v>0</v>
      </c>
    </row>
    <row r="659" spans="20:22" x14ac:dyDescent="0.3">
      <c r="T659" s="25">
        <v>63433</v>
      </c>
      <c r="U659" s="25">
        <f t="shared" si="11"/>
        <v>63462</v>
      </c>
      <c r="V659" s="24">
        <f>SUMIFS(Expense_Tracker_Table[Amount Spent],Expense_Tracker_Table[Expense Date],"&gt;="&amp;T659,Expense_Tracker_Table[Expense Date],"&lt;="&amp;U659)</f>
        <v>0</v>
      </c>
    </row>
    <row r="660" spans="20:22" x14ac:dyDescent="0.3">
      <c r="T660" s="25">
        <v>63463</v>
      </c>
      <c r="U660" s="25">
        <f t="shared" si="11"/>
        <v>63493</v>
      </c>
      <c r="V660" s="24">
        <f>SUMIFS(Expense_Tracker_Table[Amount Spent],Expense_Tracker_Table[Expense Date],"&gt;="&amp;T660,Expense_Tracker_Table[Expense Date],"&lt;="&amp;U660)</f>
        <v>0</v>
      </c>
    </row>
    <row r="661" spans="20:22" x14ac:dyDescent="0.3">
      <c r="T661" s="25">
        <v>63494</v>
      </c>
      <c r="U661" s="25">
        <f t="shared" si="11"/>
        <v>63523</v>
      </c>
      <c r="V661" s="24">
        <f>SUMIFS(Expense_Tracker_Table[Amount Spent],Expense_Tracker_Table[Expense Date],"&gt;="&amp;T661,Expense_Tracker_Table[Expense Date],"&lt;="&amp;U661)</f>
        <v>0</v>
      </c>
    </row>
    <row r="662" spans="20:22" x14ac:dyDescent="0.3">
      <c r="T662" s="25">
        <v>63524</v>
      </c>
      <c r="U662" s="25">
        <f t="shared" si="11"/>
        <v>63554</v>
      </c>
      <c r="V662" s="24">
        <f>SUMIFS(Expense_Tracker_Table[Amount Spent],Expense_Tracker_Table[Expense Date],"&gt;="&amp;T662,Expense_Tracker_Table[Expense Date],"&lt;="&amp;U662)</f>
        <v>0</v>
      </c>
    </row>
    <row r="663" spans="20:22" x14ac:dyDescent="0.3">
      <c r="T663" s="25">
        <v>63555</v>
      </c>
      <c r="U663" s="25">
        <f t="shared" si="11"/>
        <v>63585</v>
      </c>
      <c r="V663" s="24">
        <f>SUMIFS(Expense_Tracker_Table[Amount Spent],Expense_Tracker_Table[Expense Date],"&gt;="&amp;T663,Expense_Tracker_Table[Expense Date],"&lt;="&amp;U663)</f>
        <v>0</v>
      </c>
    </row>
    <row r="664" spans="20:22" x14ac:dyDescent="0.3">
      <c r="T664" s="25">
        <v>63586</v>
      </c>
      <c r="U664" s="25">
        <f t="shared" si="11"/>
        <v>63613</v>
      </c>
      <c r="V664" s="24">
        <f>SUMIFS(Expense_Tracker_Table[Amount Spent],Expense_Tracker_Table[Expense Date],"&gt;="&amp;T664,Expense_Tracker_Table[Expense Date],"&lt;="&amp;U664)</f>
        <v>0</v>
      </c>
    </row>
    <row r="665" spans="20:22" x14ac:dyDescent="0.3">
      <c r="T665" s="25">
        <v>63614</v>
      </c>
      <c r="U665" s="25">
        <f t="shared" si="11"/>
        <v>63644</v>
      </c>
      <c r="V665" s="24">
        <f>SUMIFS(Expense_Tracker_Table[Amount Spent],Expense_Tracker_Table[Expense Date],"&gt;="&amp;T665,Expense_Tracker_Table[Expense Date],"&lt;="&amp;U665)</f>
        <v>0</v>
      </c>
    </row>
    <row r="666" spans="20:22" x14ac:dyDescent="0.3">
      <c r="T666" s="25">
        <v>63645</v>
      </c>
      <c r="U666" s="25">
        <f t="shared" si="11"/>
        <v>63674</v>
      </c>
      <c r="V666" s="24">
        <f>SUMIFS(Expense_Tracker_Table[Amount Spent],Expense_Tracker_Table[Expense Date],"&gt;="&amp;T666,Expense_Tracker_Table[Expense Date],"&lt;="&amp;U666)</f>
        <v>0</v>
      </c>
    </row>
    <row r="667" spans="20:22" x14ac:dyDescent="0.3">
      <c r="T667" s="25">
        <v>63675</v>
      </c>
      <c r="U667" s="25">
        <f t="shared" si="11"/>
        <v>63705</v>
      </c>
      <c r="V667" s="24">
        <f>SUMIFS(Expense_Tracker_Table[Amount Spent],Expense_Tracker_Table[Expense Date],"&gt;="&amp;T667,Expense_Tracker_Table[Expense Date],"&lt;="&amp;U667)</f>
        <v>0</v>
      </c>
    </row>
    <row r="668" spans="20:22" x14ac:dyDescent="0.3">
      <c r="T668" s="25">
        <v>63706</v>
      </c>
      <c r="U668" s="25">
        <f t="shared" si="11"/>
        <v>63735</v>
      </c>
      <c r="V668" s="24">
        <f>SUMIFS(Expense_Tracker_Table[Amount Spent],Expense_Tracker_Table[Expense Date],"&gt;="&amp;T668,Expense_Tracker_Table[Expense Date],"&lt;="&amp;U668)</f>
        <v>0</v>
      </c>
    </row>
    <row r="669" spans="20:22" x14ac:dyDescent="0.3">
      <c r="T669" s="25">
        <v>63736</v>
      </c>
      <c r="U669" s="25">
        <f t="shared" si="11"/>
        <v>63766</v>
      </c>
      <c r="V669" s="24">
        <f>SUMIFS(Expense_Tracker_Table[Amount Spent],Expense_Tracker_Table[Expense Date],"&gt;="&amp;T669,Expense_Tracker_Table[Expense Date],"&lt;="&amp;U669)</f>
        <v>0</v>
      </c>
    </row>
    <row r="670" spans="20:22" x14ac:dyDescent="0.3">
      <c r="T670" s="25">
        <v>63767</v>
      </c>
      <c r="U670" s="25">
        <f t="shared" si="11"/>
        <v>63797</v>
      </c>
      <c r="V670" s="24">
        <f>SUMIFS(Expense_Tracker_Table[Amount Spent],Expense_Tracker_Table[Expense Date],"&gt;="&amp;T670,Expense_Tracker_Table[Expense Date],"&lt;="&amp;U670)</f>
        <v>0</v>
      </c>
    </row>
    <row r="671" spans="20:22" x14ac:dyDescent="0.3">
      <c r="T671" s="25">
        <v>63798</v>
      </c>
      <c r="U671" s="25">
        <f t="shared" si="11"/>
        <v>63827</v>
      </c>
      <c r="V671" s="24">
        <f>SUMIFS(Expense_Tracker_Table[Amount Spent],Expense_Tracker_Table[Expense Date],"&gt;="&amp;T671,Expense_Tracker_Table[Expense Date],"&lt;="&amp;U671)</f>
        <v>0</v>
      </c>
    </row>
    <row r="672" spans="20:22" x14ac:dyDescent="0.3">
      <c r="T672" s="25">
        <v>63828</v>
      </c>
      <c r="U672" s="25">
        <f t="shared" si="11"/>
        <v>63858</v>
      </c>
      <c r="V672" s="24">
        <f>SUMIFS(Expense_Tracker_Table[Amount Spent],Expense_Tracker_Table[Expense Date],"&gt;="&amp;T672,Expense_Tracker_Table[Expense Date],"&lt;="&amp;U672)</f>
        <v>0</v>
      </c>
    </row>
    <row r="673" spans="20:22" x14ac:dyDescent="0.3">
      <c r="T673" s="25">
        <v>63859</v>
      </c>
      <c r="U673" s="25">
        <f t="shared" si="11"/>
        <v>63888</v>
      </c>
      <c r="V673" s="24">
        <f>SUMIFS(Expense_Tracker_Table[Amount Spent],Expense_Tracker_Table[Expense Date],"&gt;="&amp;T673,Expense_Tracker_Table[Expense Date],"&lt;="&amp;U673)</f>
        <v>0</v>
      </c>
    </row>
    <row r="674" spans="20:22" x14ac:dyDescent="0.3">
      <c r="T674" s="25">
        <v>63889</v>
      </c>
      <c r="U674" s="25">
        <f t="shared" si="11"/>
        <v>63919</v>
      </c>
      <c r="V674" s="24">
        <f>SUMIFS(Expense_Tracker_Table[Amount Spent],Expense_Tracker_Table[Expense Date],"&gt;="&amp;T674,Expense_Tracker_Table[Expense Date],"&lt;="&amp;U674)</f>
        <v>0</v>
      </c>
    </row>
    <row r="675" spans="20:22" x14ac:dyDescent="0.3">
      <c r="T675" s="25">
        <v>63920</v>
      </c>
      <c r="U675" s="25">
        <f t="shared" si="11"/>
        <v>63950</v>
      </c>
      <c r="V675" s="24">
        <f>SUMIFS(Expense_Tracker_Table[Amount Spent],Expense_Tracker_Table[Expense Date],"&gt;="&amp;T675,Expense_Tracker_Table[Expense Date],"&lt;="&amp;U675)</f>
        <v>0</v>
      </c>
    </row>
    <row r="676" spans="20:22" x14ac:dyDescent="0.3">
      <c r="T676" s="25">
        <v>63951</v>
      </c>
      <c r="U676" s="25">
        <f t="shared" si="11"/>
        <v>63978</v>
      </c>
      <c r="V676" s="24">
        <f>SUMIFS(Expense_Tracker_Table[Amount Spent],Expense_Tracker_Table[Expense Date],"&gt;="&amp;T676,Expense_Tracker_Table[Expense Date],"&lt;="&amp;U676)</f>
        <v>0</v>
      </c>
    </row>
    <row r="677" spans="20:22" x14ac:dyDescent="0.3">
      <c r="T677" s="25">
        <v>63979</v>
      </c>
      <c r="U677" s="25">
        <f t="shared" si="11"/>
        <v>64009</v>
      </c>
      <c r="V677" s="24">
        <f>SUMIFS(Expense_Tracker_Table[Amount Spent],Expense_Tracker_Table[Expense Date],"&gt;="&amp;T677,Expense_Tracker_Table[Expense Date],"&lt;="&amp;U677)</f>
        <v>0</v>
      </c>
    </row>
    <row r="678" spans="20:22" x14ac:dyDescent="0.3">
      <c r="T678" s="25">
        <v>64010</v>
      </c>
      <c r="U678" s="25">
        <f t="shared" si="11"/>
        <v>64039</v>
      </c>
      <c r="V678" s="24">
        <f>SUMIFS(Expense_Tracker_Table[Amount Spent],Expense_Tracker_Table[Expense Date],"&gt;="&amp;T678,Expense_Tracker_Table[Expense Date],"&lt;="&amp;U678)</f>
        <v>0</v>
      </c>
    </row>
    <row r="679" spans="20:22" x14ac:dyDescent="0.3">
      <c r="T679" s="25">
        <v>64040</v>
      </c>
      <c r="U679" s="25">
        <f t="shared" si="11"/>
        <v>64070</v>
      </c>
      <c r="V679" s="24">
        <f>SUMIFS(Expense_Tracker_Table[Amount Spent],Expense_Tracker_Table[Expense Date],"&gt;="&amp;T679,Expense_Tracker_Table[Expense Date],"&lt;="&amp;U679)</f>
        <v>0</v>
      </c>
    </row>
    <row r="680" spans="20:22" x14ac:dyDescent="0.3">
      <c r="T680" s="25">
        <v>64071</v>
      </c>
      <c r="U680" s="25">
        <f t="shared" si="11"/>
        <v>64100</v>
      </c>
      <c r="V680" s="24">
        <f>SUMIFS(Expense_Tracker_Table[Amount Spent],Expense_Tracker_Table[Expense Date],"&gt;="&amp;T680,Expense_Tracker_Table[Expense Date],"&lt;="&amp;U680)</f>
        <v>0</v>
      </c>
    </row>
    <row r="681" spans="20:22" x14ac:dyDescent="0.3">
      <c r="T681" s="25">
        <v>64101</v>
      </c>
      <c r="U681" s="25">
        <f t="shared" si="11"/>
        <v>64131</v>
      </c>
      <c r="V681" s="24">
        <f>SUMIFS(Expense_Tracker_Table[Amount Spent],Expense_Tracker_Table[Expense Date],"&gt;="&amp;T681,Expense_Tracker_Table[Expense Date],"&lt;="&amp;U681)</f>
        <v>0</v>
      </c>
    </row>
    <row r="682" spans="20:22" x14ac:dyDescent="0.3">
      <c r="T682" s="25">
        <v>64132</v>
      </c>
      <c r="U682" s="25">
        <f t="shared" si="11"/>
        <v>64162</v>
      </c>
      <c r="V682" s="24">
        <f>SUMIFS(Expense_Tracker_Table[Amount Spent],Expense_Tracker_Table[Expense Date],"&gt;="&amp;T682,Expense_Tracker_Table[Expense Date],"&lt;="&amp;U682)</f>
        <v>0</v>
      </c>
    </row>
    <row r="683" spans="20:22" x14ac:dyDescent="0.3">
      <c r="T683" s="25">
        <v>64163</v>
      </c>
      <c r="U683" s="25">
        <f t="shared" si="11"/>
        <v>64192</v>
      </c>
      <c r="V683" s="24">
        <f>SUMIFS(Expense_Tracker_Table[Amount Spent],Expense_Tracker_Table[Expense Date],"&gt;="&amp;T683,Expense_Tracker_Table[Expense Date],"&lt;="&amp;U683)</f>
        <v>0</v>
      </c>
    </row>
    <row r="684" spans="20:22" x14ac:dyDescent="0.3">
      <c r="T684" s="25">
        <v>64193</v>
      </c>
      <c r="U684" s="25">
        <f t="shared" si="11"/>
        <v>64223</v>
      </c>
      <c r="V684" s="24">
        <f>SUMIFS(Expense_Tracker_Table[Amount Spent],Expense_Tracker_Table[Expense Date],"&gt;="&amp;T684,Expense_Tracker_Table[Expense Date],"&lt;="&amp;U684)</f>
        <v>0</v>
      </c>
    </row>
    <row r="685" spans="20:22" x14ac:dyDescent="0.3">
      <c r="T685" s="25">
        <v>64224</v>
      </c>
      <c r="U685" s="25">
        <f t="shared" si="11"/>
        <v>64253</v>
      </c>
      <c r="V685" s="24">
        <f>SUMIFS(Expense_Tracker_Table[Amount Spent],Expense_Tracker_Table[Expense Date],"&gt;="&amp;T685,Expense_Tracker_Table[Expense Date],"&lt;="&amp;U685)</f>
        <v>0</v>
      </c>
    </row>
    <row r="686" spans="20:22" x14ac:dyDescent="0.3">
      <c r="T686" s="25">
        <v>64254</v>
      </c>
      <c r="U686" s="25">
        <f t="shared" si="11"/>
        <v>64284</v>
      </c>
      <c r="V686" s="24">
        <f>SUMIFS(Expense_Tracker_Table[Amount Spent],Expense_Tracker_Table[Expense Date],"&gt;="&amp;T686,Expense_Tracker_Table[Expense Date],"&lt;="&amp;U686)</f>
        <v>0</v>
      </c>
    </row>
    <row r="687" spans="20:22" x14ac:dyDescent="0.3">
      <c r="T687" s="25">
        <v>64285</v>
      </c>
      <c r="U687" s="25">
        <f t="shared" si="11"/>
        <v>64315</v>
      </c>
      <c r="V687" s="24">
        <f>SUMIFS(Expense_Tracker_Table[Amount Spent],Expense_Tracker_Table[Expense Date],"&gt;="&amp;T687,Expense_Tracker_Table[Expense Date],"&lt;="&amp;U687)</f>
        <v>0</v>
      </c>
    </row>
    <row r="688" spans="20:22" x14ac:dyDescent="0.3">
      <c r="T688" s="25">
        <v>64316</v>
      </c>
      <c r="U688" s="25">
        <f t="shared" si="11"/>
        <v>64344</v>
      </c>
      <c r="V688" s="24">
        <f>SUMIFS(Expense_Tracker_Table[Amount Spent],Expense_Tracker_Table[Expense Date],"&gt;="&amp;T688,Expense_Tracker_Table[Expense Date],"&lt;="&amp;U688)</f>
        <v>0</v>
      </c>
    </row>
    <row r="689" spans="20:22" x14ac:dyDescent="0.3">
      <c r="T689" s="25">
        <v>64345</v>
      </c>
      <c r="U689" s="25">
        <f t="shared" si="11"/>
        <v>64375</v>
      </c>
      <c r="V689" s="24">
        <f>SUMIFS(Expense_Tracker_Table[Amount Spent],Expense_Tracker_Table[Expense Date],"&gt;="&amp;T689,Expense_Tracker_Table[Expense Date],"&lt;="&amp;U689)</f>
        <v>0</v>
      </c>
    </row>
    <row r="690" spans="20:22" x14ac:dyDescent="0.3">
      <c r="T690" s="25">
        <v>64376</v>
      </c>
      <c r="U690" s="25">
        <f t="shared" si="11"/>
        <v>64405</v>
      </c>
      <c r="V690" s="24">
        <f>SUMIFS(Expense_Tracker_Table[Amount Spent],Expense_Tracker_Table[Expense Date],"&gt;="&amp;T690,Expense_Tracker_Table[Expense Date],"&lt;="&amp;U690)</f>
        <v>0</v>
      </c>
    </row>
    <row r="691" spans="20:22" x14ac:dyDescent="0.3">
      <c r="T691" s="25">
        <v>64406</v>
      </c>
      <c r="U691" s="25">
        <f t="shared" si="11"/>
        <v>64436</v>
      </c>
      <c r="V691" s="24">
        <f>SUMIFS(Expense_Tracker_Table[Amount Spent],Expense_Tracker_Table[Expense Date],"&gt;="&amp;T691,Expense_Tracker_Table[Expense Date],"&lt;="&amp;U691)</f>
        <v>0</v>
      </c>
    </row>
    <row r="692" spans="20:22" x14ac:dyDescent="0.3">
      <c r="T692" s="25">
        <v>64437</v>
      </c>
      <c r="U692" s="25">
        <f t="shared" si="11"/>
        <v>64466</v>
      </c>
      <c r="V692" s="24">
        <f>SUMIFS(Expense_Tracker_Table[Amount Spent],Expense_Tracker_Table[Expense Date],"&gt;="&amp;T692,Expense_Tracker_Table[Expense Date],"&lt;="&amp;U692)</f>
        <v>0</v>
      </c>
    </row>
    <row r="693" spans="20:22" x14ac:dyDescent="0.3">
      <c r="T693" s="25">
        <v>64467</v>
      </c>
      <c r="U693" s="25">
        <f t="shared" si="11"/>
        <v>64497</v>
      </c>
      <c r="V693" s="24">
        <f>SUMIFS(Expense_Tracker_Table[Amount Spent],Expense_Tracker_Table[Expense Date],"&gt;="&amp;T693,Expense_Tracker_Table[Expense Date],"&lt;="&amp;U693)</f>
        <v>0</v>
      </c>
    </row>
    <row r="694" spans="20:22" x14ac:dyDescent="0.3">
      <c r="T694" s="25">
        <v>64498</v>
      </c>
      <c r="U694" s="25">
        <f t="shared" si="11"/>
        <v>64528</v>
      </c>
      <c r="V694" s="24">
        <f>SUMIFS(Expense_Tracker_Table[Amount Spent],Expense_Tracker_Table[Expense Date],"&gt;="&amp;T694,Expense_Tracker_Table[Expense Date],"&lt;="&amp;U694)</f>
        <v>0</v>
      </c>
    </row>
    <row r="695" spans="20:22" x14ac:dyDescent="0.3">
      <c r="T695" s="25">
        <v>64529</v>
      </c>
      <c r="U695" s="25">
        <f t="shared" si="11"/>
        <v>64558</v>
      </c>
      <c r="V695" s="24">
        <f>SUMIFS(Expense_Tracker_Table[Amount Spent],Expense_Tracker_Table[Expense Date],"&gt;="&amp;T695,Expense_Tracker_Table[Expense Date],"&lt;="&amp;U695)</f>
        <v>0</v>
      </c>
    </row>
    <row r="696" spans="20:22" x14ac:dyDescent="0.3">
      <c r="T696" s="25">
        <v>64559</v>
      </c>
      <c r="U696" s="25">
        <f t="shared" si="11"/>
        <v>64589</v>
      </c>
      <c r="V696" s="24">
        <f>SUMIFS(Expense_Tracker_Table[Amount Spent],Expense_Tracker_Table[Expense Date],"&gt;="&amp;T696,Expense_Tracker_Table[Expense Date],"&lt;="&amp;U696)</f>
        <v>0</v>
      </c>
    </row>
    <row r="697" spans="20:22" x14ac:dyDescent="0.3">
      <c r="T697" s="25">
        <v>64590</v>
      </c>
      <c r="U697" s="25">
        <f t="shared" si="11"/>
        <v>64619</v>
      </c>
      <c r="V697" s="24">
        <f>SUMIFS(Expense_Tracker_Table[Amount Spent],Expense_Tracker_Table[Expense Date],"&gt;="&amp;T697,Expense_Tracker_Table[Expense Date],"&lt;="&amp;U697)</f>
        <v>0</v>
      </c>
    </row>
    <row r="698" spans="20:22" x14ac:dyDescent="0.3">
      <c r="T698" s="25">
        <v>64620</v>
      </c>
      <c r="U698" s="25">
        <f t="shared" si="11"/>
        <v>64650</v>
      </c>
      <c r="V698" s="24">
        <f>SUMIFS(Expense_Tracker_Table[Amount Spent],Expense_Tracker_Table[Expense Date],"&gt;="&amp;T698,Expense_Tracker_Table[Expense Date],"&lt;="&amp;U698)</f>
        <v>0</v>
      </c>
    </row>
    <row r="699" spans="20:22" x14ac:dyDescent="0.3">
      <c r="T699" s="25">
        <v>64651</v>
      </c>
      <c r="U699" s="25">
        <f t="shared" si="11"/>
        <v>64681</v>
      </c>
      <c r="V699" s="24">
        <f>SUMIFS(Expense_Tracker_Table[Amount Spent],Expense_Tracker_Table[Expense Date],"&gt;="&amp;T699,Expense_Tracker_Table[Expense Date],"&lt;="&amp;U699)</f>
        <v>0</v>
      </c>
    </row>
    <row r="700" spans="20:22" x14ac:dyDescent="0.3">
      <c r="T700" s="25">
        <v>64682</v>
      </c>
      <c r="U700" s="25">
        <f t="shared" si="11"/>
        <v>64709</v>
      </c>
      <c r="V700" s="24">
        <f>SUMIFS(Expense_Tracker_Table[Amount Spent],Expense_Tracker_Table[Expense Date],"&gt;="&amp;T700,Expense_Tracker_Table[Expense Date],"&lt;="&amp;U700)</f>
        <v>0</v>
      </c>
    </row>
    <row r="701" spans="20:22" x14ac:dyDescent="0.3">
      <c r="T701" s="25">
        <v>64710</v>
      </c>
      <c r="U701" s="25">
        <f t="shared" si="11"/>
        <v>64740</v>
      </c>
      <c r="V701" s="24">
        <f>SUMIFS(Expense_Tracker_Table[Amount Spent],Expense_Tracker_Table[Expense Date],"&gt;="&amp;T701,Expense_Tracker_Table[Expense Date],"&lt;="&amp;U701)</f>
        <v>0</v>
      </c>
    </row>
    <row r="702" spans="20:22" x14ac:dyDescent="0.3">
      <c r="T702" s="25">
        <v>64741</v>
      </c>
      <c r="U702" s="25">
        <f t="shared" si="11"/>
        <v>64770</v>
      </c>
      <c r="V702" s="24">
        <f>SUMIFS(Expense_Tracker_Table[Amount Spent],Expense_Tracker_Table[Expense Date],"&gt;="&amp;T702,Expense_Tracker_Table[Expense Date],"&lt;="&amp;U702)</f>
        <v>0</v>
      </c>
    </row>
    <row r="703" spans="20:22" x14ac:dyDescent="0.3">
      <c r="T703" s="25">
        <v>64771</v>
      </c>
      <c r="U703" s="25">
        <f t="shared" si="11"/>
        <v>64801</v>
      </c>
      <c r="V703" s="24">
        <f>SUMIFS(Expense_Tracker_Table[Amount Spent],Expense_Tracker_Table[Expense Date],"&gt;="&amp;T703,Expense_Tracker_Table[Expense Date],"&lt;="&amp;U703)</f>
        <v>0</v>
      </c>
    </row>
    <row r="704" spans="20:22" x14ac:dyDescent="0.3">
      <c r="T704" s="25">
        <v>64802</v>
      </c>
      <c r="U704" s="25">
        <f t="shared" si="11"/>
        <v>64831</v>
      </c>
      <c r="V704" s="24">
        <f>SUMIFS(Expense_Tracker_Table[Amount Spent],Expense_Tracker_Table[Expense Date],"&gt;="&amp;T704,Expense_Tracker_Table[Expense Date],"&lt;="&amp;U704)</f>
        <v>0</v>
      </c>
    </row>
    <row r="705" spans="20:22" x14ac:dyDescent="0.3">
      <c r="T705" s="25">
        <v>64832</v>
      </c>
      <c r="U705" s="25">
        <f t="shared" si="11"/>
        <v>64862</v>
      </c>
      <c r="V705" s="24">
        <f>SUMIFS(Expense_Tracker_Table[Amount Spent],Expense_Tracker_Table[Expense Date],"&gt;="&amp;T705,Expense_Tracker_Table[Expense Date],"&lt;="&amp;U705)</f>
        <v>0</v>
      </c>
    </row>
    <row r="706" spans="20:22" x14ac:dyDescent="0.3">
      <c r="T706" s="25">
        <v>64863</v>
      </c>
      <c r="U706" s="25">
        <f t="shared" si="11"/>
        <v>64893</v>
      </c>
      <c r="V706" s="24">
        <f>SUMIFS(Expense_Tracker_Table[Amount Spent],Expense_Tracker_Table[Expense Date],"&gt;="&amp;T706,Expense_Tracker_Table[Expense Date],"&lt;="&amp;U706)</f>
        <v>0</v>
      </c>
    </row>
    <row r="707" spans="20:22" x14ac:dyDescent="0.3">
      <c r="T707" s="25">
        <v>64894</v>
      </c>
      <c r="U707" s="25">
        <f t="shared" si="11"/>
        <v>64923</v>
      </c>
      <c r="V707" s="24">
        <f>SUMIFS(Expense_Tracker_Table[Amount Spent],Expense_Tracker_Table[Expense Date],"&gt;="&amp;T707,Expense_Tracker_Table[Expense Date],"&lt;="&amp;U707)</f>
        <v>0</v>
      </c>
    </row>
    <row r="708" spans="20:22" x14ac:dyDescent="0.3">
      <c r="T708" s="25">
        <v>64924</v>
      </c>
      <c r="U708" s="25">
        <f t="shared" si="11"/>
        <v>64954</v>
      </c>
      <c r="V708" s="24">
        <f>SUMIFS(Expense_Tracker_Table[Amount Spent],Expense_Tracker_Table[Expense Date],"&gt;="&amp;T708,Expense_Tracker_Table[Expense Date],"&lt;="&amp;U708)</f>
        <v>0</v>
      </c>
    </row>
    <row r="709" spans="20:22" x14ac:dyDescent="0.3">
      <c r="T709" s="25">
        <v>64955</v>
      </c>
      <c r="U709" s="25">
        <f t="shared" si="11"/>
        <v>64984</v>
      </c>
      <c r="V709" s="24">
        <f>SUMIFS(Expense_Tracker_Table[Amount Spent],Expense_Tracker_Table[Expense Date],"&gt;="&amp;T709,Expense_Tracker_Table[Expense Date],"&lt;="&amp;U709)</f>
        <v>0</v>
      </c>
    </row>
    <row r="710" spans="20:22" x14ac:dyDescent="0.3">
      <c r="T710" s="25">
        <v>64985</v>
      </c>
      <c r="U710" s="25">
        <f t="shared" si="11"/>
        <v>65015</v>
      </c>
      <c r="V710" s="24">
        <f>SUMIFS(Expense_Tracker_Table[Amount Spent],Expense_Tracker_Table[Expense Date],"&gt;="&amp;T710,Expense_Tracker_Table[Expense Date],"&lt;="&amp;U710)</f>
        <v>0</v>
      </c>
    </row>
    <row r="711" spans="20:22" x14ac:dyDescent="0.3">
      <c r="T711" s="25">
        <v>65016</v>
      </c>
      <c r="U711" s="25">
        <f t="shared" si="11"/>
        <v>65046</v>
      </c>
      <c r="V711" s="24">
        <f>SUMIFS(Expense_Tracker_Table[Amount Spent],Expense_Tracker_Table[Expense Date],"&gt;="&amp;T711,Expense_Tracker_Table[Expense Date],"&lt;="&amp;U711)</f>
        <v>0</v>
      </c>
    </row>
    <row r="712" spans="20:22" x14ac:dyDescent="0.3">
      <c r="T712" s="25">
        <v>65047</v>
      </c>
      <c r="U712" s="25">
        <f t="shared" si="11"/>
        <v>65074</v>
      </c>
      <c r="V712" s="24">
        <f>SUMIFS(Expense_Tracker_Table[Amount Spent],Expense_Tracker_Table[Expense Date],"&gt;="&amp;T712,Expense_Tracker_Table[Expense Date],"&lt;="&amp;U712)</f>
        <v>0</v>
      </c>
    </row>
    <row r="713" spans="20:22" x14ac:dyDescent="0.3">
      <c r="T713" s="25">
        <v>65075</v>
      </c>
      <c r="U713" s="25">
        <f t="shared" ref="U713:U776" si="12">EOMONTH(T713,0)</f>
        <v>65105</v>
      </c>
      <c r="V713" s="24">
        <f>SUMIFS(Expense_Tracker_Table[Amount Spent],Expense_Tracker_Table[Expense Date],"&gt;="&amp;T713,Expense_Tracker_Table[Expense Date],"&lt;="&amp;U713)</f>
        <v>0</v>
      </c>
    </row>
    <row r="714" spans="20:22" x14ac:dyDescent="0.3">
      <c r="T714" s="25">
        <v>65106</v>
      </c>
      <c r="U714" s="25">
        <f t="shared" si="12"/>
        <v>65135</v>
      </c>
      <c r="V714" s="24">
        <f>SUMIFS(Expense_Tracker_Table[Amount Spent],Expense_Tracker_Table[Expense Date],"&gt;="&amp;T714,Expense_Tracker_Table[Expense Date],"&lt;="&amp;U714)</f>
        <v>0</v>
      </c>
    </row>
    <row r="715" spans="20:22" x14ac:dyDescent="0.3">
      <c r="T715" s="25">
        <v>65136</v>
      </c>
      <c r="U715" s="25">
        <f t="shared" si="12"/>
        <v>65166</v>
      </c>
      <c r="V715" s="24">
        <f>SUMIFS(Expense_Tracker_Table[Amount Spent],Expense_Tracker_Table[Expense Date],"&gt;="&amp;T715,Expense_Tracker_Table[Expense Date],"&lt;="&amp;U715)</f>
        <v>0</v>
      </c>
    </row>
    <row r="716" spans="20:22" x14ac:dyDescent="0.3">
      <c r="T716" s="25">
        <v>65167</v>
      </c>
      <c r="U716" s="25">
        <f t="shared" si="12"/>
        <v>65196</v>
      </c>
      <c r="V716" s="24">
        <f>SUMIFS(Expense_Tracker_Table[Amount Spent],Expense_Tracker_Table[Expense Date],"&gt;="&amp;T716,Expense_Tracker_Table[Expense Date],"&lt;="&amp;U716)</f>
        <v>0</v>
      </c>
    </row>
    <row r="717" spans="20:22" x14ac:dyDescent="0.3">
      <c r="T717" s="25">
        <v>65197</v>
      </c>
      <c r="U717" s="25">
        <f t="shared" si="12"/>
        <v>65227</v>
      </c>
      <c r="V717" s="24">
        <f>SUMIFS(Expense_Tracker_Table[Amount Spent],Expense_Tracker_Table[Expense Date],"&gt;="&amp;T717,Expense_Tracker_Table[Expense Date],"&lt;="&amp;U717)</f>
        <v>0</v>
      </c>
    </row>
    <row r="718" spans="20:22" x14ac:dyDescent="0.3">
      <c r="T718" s="25">
        <v>65228</v>
      </c>
      <c r="U718" s="25">
        <f t="shared" si="12"/>
        <v>65258</v>
      </c>
      <c r="V718" s="24">
        <f>SUMIFS(Expense_Tracker_Table[Amount Spent],Expense_Tracker_Table[Expense Date],"&gt;="&amp;T718,Expense_Tracker_Table[Expense Date],"&lt;="&amp;U718)</f>
        <v>0</v>
      </c>
    </row>
    <row r="719" spans="20:22" x14ac:dyDescent="0.3">
      <c r="T719" s="25">
        <v>65259</v>
      </c>
      <c r="U719" s="25">
        <f t="shared" si="12"/>
        <v>65288</v>
      </c>
      <c r="V719" s="24">
        <f>SUMIFS(Expense_Tracker_Table[Amount Spent],Expense_Tracker_Table[Expense Date],"&gt;="&amp;T719,Expense_Tracker_Table[Expense Date],"&lt;="&amp;U719)</f>
        <v>0</v>
      </c>
    </row>
    <row r="720" spans="20:22" x14ac:dyDescent="0.3">
      <c r="T720" s="25">
        <v>65289</v>
      </c>
      <c r="U720" s="25">
        <f t="shared" si="12"/>
        <v>65319</v>
      </c>
      <c r="V720" s="24">
        <f>SUMIFS(Expense_Tracker_Table[Amount Spent],Expense_Tracker_Table[Expense Date],"&gt;="&amp;T720,Expense_Tracker_Table[Expense Date],"&lt;="&amp;U720)</f>
        <v>0</v>
      </c>
    </row>
    <row r="721" spans="20:22" x14ac:dyDescent="0.3">
      <c r="T721" s="25">
        <v>65320</v>
      </c>
      <c r="U721" s="25">
        <f t="shared" si="12"/>
        <v>65349</v>
      </c>
      <c r="V721" s="24">
        <f>SUMIFS(Expense_Tracker_Table[Amount Spent],Expense_Tracker_Table[Expense Date],"&gt;="&amp;T721,Expense_Tracker_Table[Expense Date],"&lt;="&amp;U721)</f>
        <v>0</v>
      </c>
    </row>
    <row r="722" spans="20:22" x14ac:dyDescent="0.3">
      <c r="T722" s="25">
        <v>65350</v>
      </c>
      <c r="U722" s="25">
        <f t="shared" si="12"/>
        <v>65380</v>
      </c>
      <c r="V722" s="24">
        <f>SUMIFS(Expense_Tracker_Table[Amount Spent],Expense_Tracker_Table[Expense Date],"&gt;="&amp;T722,Expense_Tracker_Table[Expense Date],"&lt;="&amp;U722)</f>
        <v>0</v>
      </c>
    </row>
    <row r="723" spans="20:22" x14ac:dyDescent="0.3">
      <c r="T723" s="25">
        <v>65381</v>
      </c>
      <c r="U723" s="25">
        <f t="shared" si="12"/>
        <v>65411</v>
      </c>
      <c r="V723" s="24">
        <f>SUMIFS(Expense_Tracker_Table[Amount Spent],Expense_Tracker_Table[Expense Date],"&gt;="&amp;T723,Expense_Tracker_Table[Expense Date],"&lt;="&amp;U723)</f>
        <v>0</v>
      </c>
    </row>
    <row r="724" spans="20:22" x14ac:dyDescent="0.3">
      <c r="T724" s="25">
        <v>65412</v>
      </c>
      <c r="U724" s="25">
        <f t="shared" si="12"/>
        <v>65439</v>
      </c>
      <c r="V724" s="24">
        <f>SUMIFS(Expense_Tracker_Table[Amount Spent],Expense_Tracker_Table[Expense Date],"&gt;="&amp;T724,Expense_Tracker_Table[Expense Date],"&lt;="&amp;U724)</f>
        <v>0</v>
      </c>
    </row>
    <row r="725" spans="20:22" x14ac:dyDescent="0.3">
      <c r="T725" s="25">
        <v>65440</v>
      </c>
      <c r="U725" s="25">
        <f t="shared" si="12"/>
        <v>65470</v>
      </c>
      <c r="V725" s="24">
        <f>SUMIFS(Expense_Tracker_Table[Amount Spent],Expense_Tracker_Table[Expense Date],"&gt;="&amp;T725,Expense_Tracker_Table[Expense Date],"&lt;="&amp;U725)</f>
        <v>0</v>
      </c>
    </row>
    <row r="726" spans="20:22" x14ac:dyDescent="0.3">
      <c r="T726" s="25">
        <v>65471</v>
      </c>
      <c r="U726" s="25">
        <f t="shared" si="12"/>
        <v>65500</v>
      </c>
      <c r="V726" s="24">
        <f>SUMIFS(Expense_Tracker_Table[Amount Spent],Expense_Tracker_Table[Expense Date],"&gt;="&amp;T726,Expense_Tracker_Table[Expense Date],"&lt;="&amp;U726)</f>
        <v>0</v>
      </c>
    </row>
    <row r="727" spans="20:22" x14ac:dyDescent="0.3">
      <c r="T727" s="25">
        <v>65501</v>
      </c>
      <c r="U727" s="25">
        <f t="shared" si="12"/>
        <v>65531</v>
      </c>
      <c r="V727" s="24">
        <f>SUMIFS(Expense_Tracker_Table[Amount Spent],Expense_Tracker_Table[Expense Date],"&gt;="&amp;T727,Expense_Tracker_Table[Expense Date],"&lt;="&amp;U727)</f>
        <v>0</v>
      </c>
    </row>
    <row r="728" spans="20:22" x14ac:dyDescent="0.3">
      <c r="T728" s="25">
        <v>65532</v>
      </c>
      <c r="U728" s="25">
        <f t="shared" si="12"/>
        <v>65561</v>
      </c>
      <c r="V728" s="24">
        <f>SUMIFS(Expense_Tracker_Table[Amount Spent],Expense_Tracker_Table[Expense Date],"&gt;="&amp;T728,Expense_Tracker_Table[Expense Date],"&lt;="&amp;U728)</f>
        <v>0</v>
      </c>
    </row>
    <row r="729" spans="20:22" x14ac:dyDescent="0.3">
      <c r="T729" s="25">
        <v>65562</v>
      </c>
      <c r="U729" s="25">
        <f t="shared" si="12"/>
        <v>65592</v>
      </c>
      <c r="V729" s="24">
        <f>SUMIFS(Expense_Tracker_Table[Amount Spent],Expense_Tracker_Table[Expense Date],"&gt;="&amp;T729,Expense_Tracker_Table[Expense Date],"&lt;="&amp;U729)</f>
        <v>0</v>
      </c>
    </row>
    <row r="730" spans="20:22" x14ac:dyDescent="0.3">
      <c r="T730" s="25">
        <v>65593</v>
      </c>
      <c r="U730" s="25">
        <f t="shared" si="12"/>
        <v>65623</v>
      </c>
      <c r="V730" s="24">
        <f>SUMIFS(Expense_Tracker_Table[Amount Spent],Expense_Tracker_Table[Expense Date],"&gt;="&amp;T730,Expense_Tracker_Table[Expense Date],"&lt;="&amp;U730)</f>
        <v>0</v>
      </c>
    </row>
    <row r="731" spans="20:22" x14ac:dyDescent="0.3">
      <c r="T731" s="25">
        <v>65624</v>
      </c>
      <c r="U731" s="25">
        <f t="shared" si="12"/>
        <v>65653</v>
      </c>
      <c r="V731" s="24">
        <f>SUMIFS(Expense_Tracker_Table[Amount Spent],Expense_Tracker_Table[Expense Date],"&gt;="&amp;T731,Expense_Tracker_Table[Expense Date],"&lt;="&amp;U731)</f>
        <v>0</v>
      </c>
    </row>
    <row r="732" spans="20:22" x14ac:dyDescent="0.3">
      <c r="T732" s="25">
        <v>65654</v>
      </c>
      <c r="U732" s="25">
        <f t="shared" si="12"/>
        <v>65684</v>
      </c>
      <c r="V732" s="24">
        <f>SUMIFS(Expense_Tracker_Table[Amount Spent],Expense_Tracker_Table[Expense Date],"&gt;="&amp;T732,Expense_Tracker_Table[Expense Date],"&lt;="&amp;U732)</f>
        <v>0</v>
      </c>
    </row>
    <row r="733" spans="20:22" x14ac:dyDescent="0.3">
      <c r="T733" s="25">
        <v>65685</v>
      </c>
      <c r="U733" s="25">
        <f t="shared" si="12"/>
        <v>65714</v>
      </c>
      <c r="V733" s="24">
        <f>SUMIFS(Expense_Tracker_Table[Amount Spent],Expense_Tracker_Table[Expense Date],"&gt;="&amp;T733,Expense_Tracker_Table[Expense Date],"&lt;="&amp;U733)</f>
        <v>0</v>
      </c>
    </row>
    <row r="734" spans="20:22" x14ac:dyDescent="0.3">
      <c r="T734" s="25">
        <v>65715</v>
      </c>
      <c r="U734" s="25">
        <f t="shared" si="12"/>
        <v>65745</v>
      </c>
      <c r="V734" s="24">
        <f>SUMIFS(Expense_Tracker_Table[Amount Spent],Expense_Tracker_Table[Expense Date],"&gt;="&amp;T734,Expense_Tracker_Table[Expense Date],"&lt;="&amp;U734)</f>
        <v>0</v>
      </c>
    </row>
    <row r="735" spans="20:22" x14ac:dyDescent="0.3">
      <c r="T735" s="25">
        <v>65746</v>
      </c>
      <c r="U735" s="25">
        <f t="shared" si="12"/>
        <v>65776</v>
      </c>
      <c r="V735" s="24">
        <f>SUMIFS(Expense_Tracker_Table[Amount Spent],Expense_Tracker_Table[Expense Date],"&gt;="&amp;T735,Expense_Tracker_Table[Expense Date],"&lt;="&amp;U735)</f>
        <v>0</v>
      </c>
    </row>
    <row r="736" spans="20:22" x14ac:dyDescent="0.3">
      <c r="T736" s="25">
        <v>65777</v>
      </c>
      <c r="U736" s="25">
        <f t="shared" si="12"/>
        <v>65805</v>
      </c>
      <c r="V736" s="24">
        <f>SUMIFS(Expense_Tracker_Table[Amount Spent],Expense_Tracker_Table[Expense Date],"&gt;="&amp;T736,Expense_Tracker_Table[Expense Date],"&lt;="&amp;U736)</f>
        <v>0</v>
      </c>
    </row>
    <row r="737" spans="20:22" x14ac:dyDescent="0.3">
      <c r="T737" s="25">
        <v>65806</v>
      </c>
      <c r="U737" s="25">
        <f t="shared" si="12"/>
        <v>65836</v>
      </c>
      <c r="V737" s="24">
        <f>SUMIFS(Expense_Tracker_Table[Amount Spent],Expense_Tracker_Table[Expense Date],"&gt;="&amp;T737,Expense_Tracker_Table[Expense Date],"&lt;="&amp;U737)</f>
        <v>0</v>
      </c>
    </row>
    <row r="738" spans="20:22" x14ac:dyDescent="0.3">
      <c r="T738" s="25">
        <v>65837</v>
      </c>
      <c r="U738" s="25">
        <f t="shared" si="12"/>
        <v>65866</v>
      </c>
      <c r="V738" s="24">
        <f>SUMIFS(Expense_Tracker_Table[Amount Spent],Expense_Tracker_Table[Expense Date],"&gt;="&amp;T738,Expense_Tracker_Table[Expense Date],"&lt;="&amp;U738)</f>
        <v>0</v>
      </c>
    </row>
    <row r="739" spans="20:22" x14ac:dyDescent="0.3">
      <c r="T739" s="25">
        <v>65867</v>
      </c>
      <c r="U739" s="25">
        <f t="shared" si="12"/>
        <v>65897</v>
      </c>
      <c r="V739" s="24">
        <f>SUMIFS(Expense_Tracker_Table[Amount Spent],Expense_Tracker_Table[Expense Date],"&gt;="&amp;T739,Expense_Tracker_Table[Expense Date],"&lt;="&amp;U739)</f>
        <v>0</v>
      </c>
    </row>
    <row r="740" spans="20:22" x14ac:dyDescent="0.3">
      <c r="T740" s="25">
        <v>65898</v>
      </c>
      <c r="U740" s="25">
        <f t="shared" si="12"/>
        <v>65927</v>
      </c>
      <c r="V740" s="24">
        <f>SUMIFS(Expense_Tracker_Table[Amount Spent],Expense_Tracker_Table[Expense Date],"&gt;="&amp;T740,Expense_Tracker_Table[Expense Date],"&lt;="&amp;U740)</f>
        <v>0</v>
      </c>
    </row>
    <row r="741" spans="20:22" x14ac:dyDescent="0.3">
      <c r="T741" s="25">
        <v>65928</v>
      </c>
      <c r="U741" s="25">
        <f t="shared" si="12"/>
        <v>65958</v>
      </c>
      <c r="V741" s="24">
        <f>SUMIFS(Expense_Tracker_Table[Amount Spent],Expense_Tracker_Table[Expense Date],"&gt;="&amp;T741,Expense_Tracker_Table[Expense Date],"&lt;="&amp;U741)</f>
        <v>0</v>
      </c>
    </row>
    <row r="742" spans="20:22" x14ac:dyDescent="0.3">
      <c r="T742" s="25">
        <v>65959</v>
      </c>
      <c r="U742" s="25">
        <f t="shared" si="12"/>
        <v>65989</v>
      </c>
      <c r="V742" s="24">
        <f>SUMIFS(Expense_Tracker_Table[Amount Spent],Expense_Tracker_Table[Expense Date],"&gt;="&amp;T742,Expense_Tracker_Table[Expense Date],"&lt;="&amp;U742)</f>
        <v>0</v>
      </c>
    </row>
    <row r="743" spans="20:22" x14ac:dyDescent="0.3">
      <c r="T743" s="25">
        <v>65990</v>
      </c>
      <c r="U743" s="25">
        <f t="shared" si="12"/>
        <v>66019</v>
      </c>
      <c r="V743" s="24">
        <f>SUMIFS(Expense_Tracker_Table[Amount Spent],Expense_Tracker_Table[Expense Date],"&gt;="&amp;T743,Expense_Tracker_Table[Expense Date],"&lt;="&amp;U743)</f>
        <v>0</v>
      </c>
    </row>
    <row r="744" spans="20:22" x14ac:dyDescent="0.3">
      <c r="T744" s="25">
        <v>66020</v>
      </c>
      <c r="U744" s="25">
        <f t="shared" si="12"/>
        <v>66050</v>
      </c>
      <c r="V744" s="24">
        <f>SUMIFS(Expense_Tracker_Table[Amount Spent],Expense_Tracker_Table[Expense Date],"&gt;="&amp;T744,Expense_Tracker_Table[Expense Date],"&lt;="&amp;U744)</f>
        <v>0</v>
      </c>
    </row>
    <row r="745" spans="20:22" x14ac:dyDescent="0.3">
      <c r="T745" s="25">
        <v>66051</v>
      </c>
      <c r="U745" s="25">
        <f t="shared" si="12"/>
        <v>66080</v>
      </c>
      <c r="V745" s="24">
        <f>SUMIFS(Expense_Tracker_Table[Amount Spent],Expense_Tracker_Table[Expense Date],"&gt;="&amp;T745,Expense_Tracker_Table[Expense Date],"&lt;="&amp;U745)</f>
        <v>0</v>
      </c>
    </row>
    <row r="746" spans="20:22" x14ac:dyDescent="0.3">
      <c r="T746" s="25">
        <v>66081</v>
      </c>
      <c r="U746" s="25">
        <f t="shared" si="12"/>
        <v>66111</v>
      </c>
      <c r="V746" s="24">
        <f>SUMIFS(Expense_Tracker_Table[Amount Spent],Expense_Tracker_Table[Expense Date],"&gt;="&amp;T746,Expense_Tracker_Table[Expense Date],"&lt;="&amp;U746)</f>
        <v>0</v>
      </c>
    </row>
    <row r="747" spans="20:22" x14ac:dyDescent="0.3">
      <c r="T747" s="25">
        <v>66112</v>
      </c>
      <c r="U747" s="25">
        <f t="shared" si="12"/>
        <v>66142</v>
      </c>
      <c r="V747" s="24">
        <f>SUMIFS(Expense_Tracker_Table[Amount Spent],Expense_Tracker_Table[Expense Date],"&gt;="&amp;T747,Expense_Tracker_Table[Expense Date],"&lt;="&amp;U747)</f>
        <v>0</v>
      </c>
    </row>
    <row r="748" spans="20:22" x14ac:dyDescent="0.3">
      <c r="T748" s="25">
        <v>66143</v>
      </c>
      <c r="U748" s="25">
        <f t="shared" si="12"/>
        <v>66170</v>
      </c>
      <c r="V748" s="24">
        <f>SUMIFS(Expense_Tracker_Table[Amount Spent],Expense_Tracker_Table[Expense Date],"&gt;="&amp;T748,Expense_Tracker_Table[Expense Date],"&lt;="&amp;U748)</f>
        <v>0</v>
      </c>
    </row>
    <row r="749" spans="20:22" x14ac:dyDescent="0.3">
      <c r="T749" s="25">
        <v>66171</v>
      </c>
      <c r="U749" s="25">
        <f t="shared" si="12"/>
        <v>66201</v>
      </c>
      <c r="V749" s="24">
        <f>SUMIFS(Expense_Tracker_Table[Amount Spent],Expense_Tracker_Table[Expense Date],"&gt;="&amp;T749,Expense_Tracker_Table[Expense Date],"&lt;="&amp;U749)</f>
        <v>0</v>
      </c>
    </row>
    <row r="750" spans="20:22" x14ac:dyDescent="0.3">
      <c r="T750" s="25">
        <v>66202</v>
      </c>
      <c r="U750" s="25">
        <f t="shared" si="12"/>
        <v>66231</v>
      </c>
      <c r="V750" s="24">
        <f>SUMIFS(Expense_Tracker_Table[Amount Spent],Expense_Tracker_Table[Expense Date],"&gt;="&amp;T750,Expense_Tracker_Table[Expense Date],"&lt;="&amp;U750)</f>
        <v>0</v>
      </c>
    </row>
    <row r="751" spans="20:22" x14ac:dyDescent="0.3">
      <c r="T751" s="25">
        <v>66232</v>
      </c>
      <c r="U751" s="25">
        <f t="shared" si="12"/>
        <v>66262</v>
      </c>
      <c r="V751" s="24">
        <f>SUMIFS(Expense_Tracker_Table[Amount Spent],Expense_Tracker_Table[Expense Date],"&gt;="&amp;T751,Expense_Tracker_Table[Expense Date],"&lt;="&amp;U751)</f>
        <v>0</v>
      </c>
    </row>
    <row r="752" spans="20:22" x14ac:dyDescent="0.3">
      <c r="T752" s="25">
        <v>66263</v>
      </c>
      <c r="U752" s="25">
        <f t="shared" si="12"/>
        <v>66292</v>
      </c>
      <c r="V752" s="24">
        <f>SUMIFS(Expense_Tracker_Table[Amount Spent],Expense_Tracker_Table[Expense Date],"&gt;="&amp;T752,Expense_Tracker_Table[Expense Date],"&lt;="&amp;U752)</f>
        <v>0</v>
      </c>
    </row>
    <row r="753" spans="20:22" x14ac:dyDescent="0.3">
      <c r="T753" s="25">
        <v>66293</v>
      </c>
      <c r="U753" s="25">
        <f t="shared" si="12"/>
        <v>66323</v>
      </c>
      <c r="V753" s="24">
        <f>SUMIFS(Expense_Tracker_Table[Amount Spent],Expense_Tracker_Table[Expense Date],"&gt;="&amp;T753,Expense_Tracker_Table[Expense Date],"&lt;="&amp;U753)</f>
        <v>0</v>
      </c>
    </row>
    <row r="754" spans="20:22" x14ac:dyDescent="0.3">
      <c r="T754" s="25">
        <v>66324</v>
      </c>
      <c r="U754" s="25">
        <f t="shared" si="12"/>
        <v>66354</v>
      </c>
      <c r="V754" s="24">
        <f>SUMIFS(Expense_Tracker_Table[Amount Spent],Expense_Tracker_Table[Expense Date],"&gt;="&amp;T754,Expense_Tracker_Table[Expense Date],"&lt;="&amp;U754)</f>
        <v>0</v>
      </c>
    </row>
    <row r="755" spans="20:22" x14ac:dyDescent="0.3">
      <c r="T755" s="25">
        <v>66355</v>
      </c>
      <c r="U755" s="25">
        <f t="shared" si="12"/>
        <v>66384</v>
      </c>
      <c r="V755" s="24">
        <f>SUMIFS(Expense_Tracker_Table[Amount Spent],Expense_Tracker_Table[Expense Date],"&gt;="&amp;T755,Expense_Tracker_Table[Expense Date],"&lt;="&amp;U755)</f>
        <v>0</v>
      </c>
    </row>
    <row r="756" spans="20:22" x14ac:dyDescent="0.3">
      <c r="T756" s="25">
        <v>66385</v>
      </c>
      <c r="U756" s="25">
        <f t="shared" si="12"/>
        <v>66415</v>
      </c>
      <c r="V756" s="24">
        <f>SUMIFS(Expense_Tracker_Table[Amount Spent],Expense_Tracker_Table[Expense Date],"&gt;="&amp;T756,Expense_Tracker_Table[Expense Date],"&lt;="&amp;U756)</f>
        <v>0</v>
      </c>
    </row>
    <row r="757" spans="20:22" x14ac:dyDescent="0.3">
      <c r="T757" s="25">
        <v>66416</v>
      </c>
      <c r="U757" s="25">
        <f t="shared" si="12"/>
        <v>66445</v>
      </c>
      <c r="V757" s="24">
        <f>SUMIFS(Expense_Tracker_Table[Amount Spent],Expense_Tracker_Table[Expense Date],"&gt;="&amp;T757,Expense_Tracker_Table[Expense Date],"&lt;="&amp;U757)</f>
        <v>0</v>
      </c>
    </row>
    <row r="758" spans="20:22" x14ac:dyDescent="0.3">
      <c r="T758" s="25">
        <v>66446</v>
      </c>
      <c r="U758" s="25">
        <f t="shared" si="12"/>
        <v>66476</v>
      </c>
      <c r="V758" s="24">
        <f>SUMIFS(Expense_Tracker_Table[Amount Spent],Expense_Tracker_Table[Expense Date],"&gt;="&amp;T758,Expense_Tracker_Table[Expense Date],"&lt;="&amp;U758)</f>
        <v>0</v>
      </c>
    </row>
    <row r="759" spans="20:22" x14ac:dyDescent="0.3">
      <c r="T759" s="25">
        <v>66477</v>
      </c>
      <c r="U759" s="25">
        <f t="shared" si="12"/>
        <v>66507</v>
      </c>
      <c r="V759" s="24">
        <f>SUMIFS(Expense_Tracker_Table[Amount Spent],Expense_Tracker_Table[Expense Date],"&gt;="&amp;T759,Expense_Tracker_Table[Expense Date],"&lt;="&amp;U759)</f>
        <v>0</v>
      </c>
    </row>
    <row r="760" spans="20:22" x14ac:dyDescent="0.3">
      <c r="T760" s="25">
        <v>66508</v>
      </c>
      <c r="U760" s="25">
        <f t="shared" si="12"/>
        <v>66535</v>
      </c>
      <c r="V760" s="24">
        <f>SUMIFS(Expense_Tracker_Table[Amount Spent],Expense_Tracker_Table[Expense Date],"&gt;="&amp;T760,Expense_Tracker_Table[Expense Date],"&lt;="&amp;U760)</f>
        <v>0</v>
      </c>
    </row>
    <row r="761" spans="20:22" x14ac:dyDescent="0.3">
      <c r="T761" s="25">
        <v>66536</v>
      </c>
      <c r="U761" s="25">
        <f t="shared" si="12"/>
        <v>66566</v>
      </c>
      <c r="V761" s="24">
        <f>SUMIFS(Expense_Tracker_Table[Amount Spent],Expense_Tracker_Table[Expense Date],"&gt;="&amp;T761,Expense_Tracker_Table[Expense Date],"&lt;="&amp;U761)</f>
        <v>0</v>
      </c>
    </row>
    <row r="762" spans="20:22" x14ac:dyDescent="0.3">
      <c r="T762" s="25">
        <v>66567</v>
      </c>
      <c r="U762" s="25">
        <f t="shared" si="12"/>
        <v>66596</v>
      </c>
      <c r="V762" s="24">
        <f>SUMIFS(Expense_Tracker_Table[Amount Spent],Expense_Tracker_Table[Expense Date],"&gt;="&amp;T762,Expense_Tracker_Table[Expense Date],"&lt;="&amp;U762)</f>
        <v>0</v>
      </c>
    </row>
    <row r="763" spans="20:22" x14ac:dyDescent="0.3">
      <c r="T763" s="25">
        <v>66597</v>
      </c>
      <c r="U763" s="25">
        <f t="shared" si="12"/>
        <v>66627</v>
      </c>
      <c r="V763" s="24">
        <f>SUMIFS(Expense_Tracker_Table[Amount Spent],Expense_Tracker_Table[Expense Date],"&gt;="&amp;T763,Expense_Tracker_Table[Expense Date],"&lt;="&amp;U763)</f>
        <v>0</v>
      </c>
    </row>
    <row r="764" spans="20:22" x14ac:dyDescent="0.3">
      <c r="T764" s="25">
        <v>66628</v>
      </c>
      <c r="U764" s="25">
        <f t="shared" si="12"/>
        <v>66657</v>
      </c>
      <c r="V764" s="24">
        <f>SUMIFS(Expense_Tracker_Table[Amount Spent],Expense_Tracker_Table[Expense Date],"&gt;="&amp;T764,Expense_Tracker_Table[Expense Date],"&lt;="&amp;U764)</f>
        <v>0</v>
      </c>
    </row>
    <row r="765" spans="20:22" x14ac:dyDescent="0.3">
      <c r="T765" s="25">
        <v>66658</v>
      </c>
      <c r="U765" s="25">
        <f t="shared" si="12"/>
        <v>66688</v>
      </c>
      <c r="V765" s="24">
        <f>SUMIFS(Expense_Tracker_Table[Amount Spent],Expense_Tracker_Table[Expense Date],"&gt;="&amp;T765,Expense_Tracker_Table[Expense Date],"&lt;="&amp;U765)</f>
        <v>0</v>
      </c>
    </row>
    <row r="766" spans="20:22" x14ac:dyDescent="0.3">
      <c r="T766" s="25">
        <v>66689</v>
      </c>
      <c r="U766" s="25">
        <f t="shared" si="12"/>
        <v>66719</v>
      </c>
      <c r="V766" s="24">
        <f>SUMIFS(Expense_Tracker_Table[Amount Spent],Expense_Tracker_Table[Expense Date],"&gt;="&amp;T766,Expense_Tracker_Table[Expense Date],"&lt;="&amp;U766)</f>
        <v>0</v>
      </c>
    </row>
    <row r="767" spans="20:22" x14ac:dyDescent="0.3">
      <c r="T767" s="25">
        <v>66720</v>
      </c>
      <c r="U767" s="25">
        <f t="shared" si="12"/>
        <v>66749</v>
      </c>
      <c r="V767" s="24">
        <f>SUMIFS(Expense_Tracker_Table[Amount Spent],Expense_Tracker_Table[Expense Date],"&gt;="&amp;T767,Expense_Tracker_Table[Expense Date],"&lt;="&amp;U767)</f>
        <v>0</v>
      </c>
    </row>
    <row r="768" spans="20:22" x14ac:dyDescent="0.3">
      <c r="T768" s="25">
        <v>66750</v>
      </c>
      <c r="U768" s="25">
        <f t="shared" si="12"/>
        <v>66780</v>
      </c>
      <c r="V768" s="24">
        <f>SUMIFS(Expense_Tracker_Table[Amount Spent],Expense_Tracker_Table[Expense Date],"&gt;="&amp;T768,Expense_Tracker_Table[Expense Date],"&lt;="&amp;U768)</f>
        <v>0</v>
      </c>
    </row>
    <row r="769" spans="20:22" x14ac:dyDescent="0.3">
      <c r="T769" s="25">
        <v>66781</v>
      </c>
      <c r="U769" s="25">
        <f t="shared" si="12"/>
        <v>66810</v>
      </c>
      <c r="V769" s="24">
        <f>SUMIFS(Expense_Tracker_Table[Amount Spent],Expense_Tracker_Table[Expense Date],"&gt;="&amp;T769,Expense_Tracker_Table[Expense Date],"&lt;="&amp;U769)</f>
        <v>0</v>
      </c>
    </row>
    <row r="770" spans="20:22" x14ac:dyDescent="0.3">
      <c r="T770" s="25">
        <v>66811</v>
      </c>
      <c r="U770" s="25">
        <f t="shared" si="12"/>
        <v>66841</v>
      </c>
      <c r="V770" s="24">
        <f>SUMIFS(Expense_Tracker_Table[Amount Spent],Expense_Tracker_Table[Expense Date],"&gt;="&amp;T770,Expense_Tracker_Table[Expense Date],"&lt;="&amp;U770)</f>
        <v>0</v>
      </c>
    </row>
    <row r="771" spans="20:22" x14ac:dyDescent="0.3">
      <c r="T771" s="25">
        <v>66842</v>
      </c>
      <c r="U771" s="25">
        <f t="shared" si="12"/>
        <v>66872</v>
      </c>
      <c r="V771" s="24">
        <f>SUMIFS(Expense_Tracker_Table[Amount Spent],Expense_Tracker_Table[Expense Date],"&gt;="&amp;T771,Expense_Tracker_Table[Expense Date],"&lt;="&amp;U771)</f>
        <v>0</v>
      </c>
    </row>
    <row r="772" spans="20:22" x14ac:dyDescent="0.3">
      <c r="T772" s="25">
        <v>66873</v>
      </c>
      <c r="U772" s="25">
        <f t="shared" si="12"/>
        <v>66900</v>
      </c>
      <c r="V772" s="24">
        <f>SUMIFS(Expense_Tracker_Table[Amount Spent],Expense_Tracker_Table[Expense Date],"&gt;="&amp;T772,Expense_Tracker_Table[Expense Date],"&lt;="&amp;U772)</f>
        <v>0</v>
      </c>
    </row>
    <row r="773" spans="20:22" x14ac:dyDescent="0.3">
      <c r="T773" s="25">
        <v>66901</v>
      </c>
      <c r="U773" s="25">
        <f t="shared" si="12"/>
        <v>66931</v>
      </c>
      <c r="V773" s="24">
        <f>SUMIFS(Expense_Tracker_Table[Amount Spent],Expense_Tracker_Table[Expense Date],"&gt;="&amp;T773,Expense_Tracker_Table[Expense Date],"&lt;="&amp;U773)</f>
        <v>0</v>
      </c>
    </row>
    <row r="774" spans="20:22" x14ac:dyDescent="0.3">
      <c r="T774" s="25">
        <v>66932</v>
      </c>
      <c r="U774" s="25">
        <f t="shared" si="12"/>
        <v>66961</v>
      </c>
      <c r="V774" s="24">
        <f>SUMIFS(Expense_Tracker_Table[Amount Spent],Expense_Tracker_Table[Expense Date],"&gt;="&amp;T774,Expense_Tracker_Table[Expense Date],"&lt;="&amp;U774)</f>
        <v>0</v>
      </c>
    </row>
    <row r="775" spans="20:22" x14ac:dyDescent="0.3">
      <c r="T775" s="25">
        <v>66962</v>
      </c>
      <c r="U775" s="25">
        <f t="shared" si="12"/>
        <v>66992</v>
      </c>
      <c r="V775" s="24">
        <f>SUMIFS(Expense_Tracker_Table[Amount Spent],Expense_Tracker_Table[Expense Date],"&gt;="&amp;T775,Expense_Tracker_Table[Expense Date],"&lt;="&amp;U775)</f>
        <v>0</v>
      </c>
    </row>
    <row r="776" spans="20:22" x14ac:dyDescent="0.3">
      <c r="T776" s="25">
        <v>66993</v>
      </c>
      <c r="U776" s="25">
        <f t="shared" si="12"/>
        <v>67022</v>
      </c>
      <c r="V776" s="24">
        <f>SUMIFS(Expense_Tracker_Table[Amount Spent],Expense_Tracker_Table[Expense Date],"&gt;="&amp;T776,Expense_Tracker_Table[Expense Date],"&lt;="&amp;U776)</f>
        <v>0</v>
      </c>
    </row>
    <row r="777" spans="20:22" x14ac:dyDescent="0.3">
      <c r="T777" s="25">
        <v>67023</v>
      </c>
      <c r="U777" s="25">
        <f t="shared" ref="U777:U840" si="13">EOMONTH(T777,0)</f>
        <v>67053</v>
      </c>
      <c r="V777" s="24">
        <f>SUMIFS(Expense_Tracker_Table[Amount Spent],Expense_Tracker_Table[Expense Date],"&gt;="&amp;T777,Expense_Tracker_Table[Expense Date],"&lt;="&amp;U777)</f>
        <v>0</v>
      </c>
    </row>
    <row r="778" spans="20:22" x14ac:dyDescent="0.3">
      <c r="T778" s="25">
        <v>67054</v>
      </c>
      <c r="U778" s="25">
        <f t="shared" si="13"/>
        <v>67084</v>
      </c>
      <c r="V778" s="24">
        <f>SUMIFS(Expense_Tracker_Table[Amount Spent],Expense_Tracker_Table[Expense Date],"&gt;="&amp;T778,Expense_Tracker_Table[Expense Date],"&lt;="&amp;U778)</f>
        <v>0</v>
      </c>
    </row>
    <row r="779" spans="20:22" x14ac:dyDescent="0.3">
      <c r="T779" s="25">
        <v>67085</v>
      </c>
      <c r="U779" s="25">
        <f t="shared" si="13"/>
        <v>67114</v>
      </c>
      <c r="V779" s="24">
        <f>SUMIFS(Expense_Tracker_Table[Amount Spent],Expense_Tracker_Table[Expense Date],"&gt;="&amp;T779,Expense_Tracker_Table[Expense Date],"&lt;="&amp;U779)</f>
        <v>0</v>
      </c>
    </row>
    <row r="780" spans="20:22" x14ac:dyDescent="0.3">
      <c r="T780" s="25">
        <v>67115</v>
      </c>
      <c r="U780" s="25">
        <f t="shared" si="13"/>
        <v>67145</v>
      </c>
      <c r="V780" s="24">
        <f>SUMIFS(Expense_Tracker_Table[Amount Spent],Expense_Tracker_Table[Expense Date],"&gt;="&amp;T780,Expense_Tracker_Table[Expense Date],"&lt;="&amp;U780)</f>
        <v>0</v>
      </c>
    </row>
    <row r="781" spans="20:22" x14ac:dyDescent="0.3">
      <c r="T781" s="25">
        <v>67146</v>
      </c>
      <c r="U781" s="25">
        <f t="shared" si="13"/>
        <v>67175</v>
      </c>
      <c r="V781" s="24">
        <f>SUMIFS(Expense_Tracker_Table[Amount Spent],Expense_Tracker_Table[Expense Date],"&gt;="&amp;T781,Expense_Tracker_Table[Expense Date],"&lt;="&amp;U781)</f>
        <v>0</v>
      </c>
    </row>
    <row r="782" spans="20:22" x14ac:dyDescent="0.3">
      <c r="T782" s="25">
        <v>67176</v>
      </c>
      <c r="U782" s="25">
        <f t="shared" si="13"/>
        <v>67206</v>
      </c>
      <c r="V782" s="24">
        <f>SUMIFS(Expense_Tracker_Table[Amount Spent],Expense_Tracker_Table[Expense Date],"&gt;="&amp;T782,Expense_Tracker_Table[Expense Date],"&lt;="&amp;U782)</f>
        <v>0</v>
      </c>
    </row>
    <row r="783" spans="20:22" x14ac:dyDescent="0.3">
      <c r="T783" s="25">
        <v>67207</v>
      </c>
      <c r="U783" s="25">
        <f t="shared" si="13"/>
        <v>67237</v>
      </c>
      <c r="V783" s="24">
        <f>SUMIFS(Expense_Tracker_Table[Amount Spent],Expense_Tracker_Table[Expense Date],"&gt;="&amp;T783,Expense_Tracker_Table[Expense Date],"&lt;="&amp;U783)</f>
        <v>0</v>
      </c>
    </row>
    <row r="784" spans="20:22" x14ac:dyDescent="0.3">
      <c r="T784" s="25">
        <v>67238</v>
      </c>
      <c r="U784" s="25">
        <f t="shared" si="13"/>
        <v>67266</v>
      </c>
      <c r="V784" s="24">
        <f>SUMIFS(Expense_Tracker_Table[Amount Spent],Expense_Tracker_Table[Expense Date],"&gt;="&amp;T784,Expense_Tracker_Table[Expense Date],"&lt;="&amp;U784)</f>
        <v>0</v>
      </c>
    </row>
    <row r="785" spans="20:22" x14ac:dyDescent="0.3">
      <c r="T785" s="25">
        <v>67267</v>
      </c>
      <c r="U785" s="25">
        <f t="shared" si="13"/>
        <v>67297</v>
      </c>
      <c r="V785" s="24">
        <f>SUMIFS(Expense_Tracker_Table[Amount Spent],Expense_Tracker_Table[Expense Date],"&gt;="&amp;T785,Expense_Tracker_Table[Expense Date],"&lt;="&amp;U785)</f>
        <v>0</v>
      </c>
    </row>
    <row r="786" spans="20:22" x14ac:dyDescent="0.3">
      <c r="T786" s="25">
        <v>67298</v>
      </c>
      <c r="U786" s="25">
        <f t="shared" si="13"/>
        <v>67327</v>
      </c>
      <c r="V786" s="24">
        <f>SUMIFS(Expense_Tracker_Table[Amount Spent],Expense_Tracker_Table[Expense Date],"&gt;="&amp;T786,Expense_Tracker_Table[Expense Date],"&lt;="&amp;U786)</f>
        <v>0</v>
      </c>
    </row>
    <row r="787" spans="20:22" x14ac:dyDescent="0.3">
      <c r="T787" s="25">
        <v>67328</v>
      </c>
      <c r="U787" s="25">
        <f t="shared" si="13"/>
        <v>67358</v>
      </c>
      <c r="V787" s="24">
        <f>SUMIFS(Expense_Tracker_Table[Amount Spent],Expense_Tracker_Table[Expense Date],"&gt;="&amp;T787,Expense_Tracker_Table[Expense Date],"&lt;="&amp;U787)</f>
        <v>0</v>
      </c>
    </row>
    <row r="788" spans="20:22" x14ac:dyDescent="0.3">
      <c r="T788" s="25">
        <v>67359</v>
      </c>
      <c r="U788" s="25">
        <f t="shared" si="13"/>
        <v>67388</v>
      </c>
      <c r="V788" s="24">
        <f>SUMIFS(Expense_Tracker_Table[Amount Spent],Expense_Tracker_Table[Expense Date],"&gt;="&amp;T788,Expense_Tracker_Table[Expense Date],"&lt;="&amp;U788)</f>
        <v>0</v>
      </c>
    </row>
    <row r="789" spans="20:22" x14ac:dyDescent="0.3">
      <c r="T789" s="25">
        <v>67389</v>
      </c>
      <c r="U789" s="25">
        <f t="shared" si="13"/>
        <v>67419</v>
      </c>
      <c r="V789" s="24">
        <f>SUMIFS(Expense_Tracker_Table[Amount Spent],Expense_Tracker_Table[Expense Date],"&gt;="&amp;T789,Expense_Tracker_Table[Expense Date],"&lt;="&amp;U789)</f>
        <v>0</v>
      </c>
    </row>
    <row r="790" spans="20:22" x14ac:dyDescent="0.3">
      <c r="T790" s="25">
        <v>67420</v>
      </c>
      <c r="U790" s="25">
        <f t="shared" si="13"/>
        <v>67450</v>
      </c>
      <c r="V790" s="24">
        <f>SUMIFS(Expense_Tracker_Table[Amount Spent],Expense_Tracker_Table[Expense Date],"&gt;="&amp;T790,Expense_Tracker_Table[Expense Date],"&lt;="&amp;U790)</f>
        <v>0</v>
      </c>
    </row>
    <row r="791" spans="20:22" x14ac:dyDescent="0.3">
      <c r="T791" s="25">
        <v>67451</v>
      </c>
      <c r="U791" s="25">
        <f t="shared" si="13"/>
        <v>67480</v>
      </c>
      <c r="V791" s="24">
        <f>SUMIFS(Expense_Tracker_Table[Amount Spent],Expense_Tracker_Table[Expense Date],"&gt;="&amp;T791,Expense_Tracker_Table[Expense Date],"&lt;="&amp;U791)</f>
        <v>0</v>
      </c>
    </row>
    <row r="792" spans="20:22" x14ac:dyDescent="0.3">
      <c r="T792" s="25">
        <v>67481</v>
      </c>
      <c r="U792" s="25">
        <f t="shared" si="13"/>
        <v>67511</v>
      </c>
      <c r="V792" s="24">
        <f>SUMIFS(Expense_Tracker_Table[Amount Spent],Expense_Tracker_Table[Expense Date],"&gt;="&amp;T792,Expense_Tracker_Table[Expense Date],"&lt;="&amp;U792)</f>
        <v>0</v>
      </c>
    </row>
    <row r="793" spans="20:22" x14ac:dyDescent="0.3">
      <c r="T793" s="25">
        <v>67512</v>
      </c>
      <c r="U793" s="25">
        <f t="shared" si="13"/>
        <v>67541</v>
      </c>
      <c r="V793" s="24">
        <f>SUMIFS(Expense_Tracker_Table[Amount Spent],Expense_Tracker_Table[Expense Date],"&gt;="&amp;T793,Expense_Tracker_Table[Expense Date],"&lt;="&amp;U793)</f>
        <v>0</v>
      </c>
    </row>
    <row r="794" spans="20:22" x14ac:dyDescent="0.3">
      <c r="T794" s="25">
        <v>67542</v>
      </c>
      <c r="U794" s="25">
        <f t="shared" si="13"/>
        <v>67572</v>
      </c>
      <c r="V794" s="24">
        <f>SUMIFS(Expense_Tracker_Table[Amount Spent],Expense_Tracker_Table[Expense Date],"&gt;="&amp;T794,Expense_Tracker_Table[Expense Date],"&lt;="&amp;U794)</f>
        <v>0</v>
      </c>
    </row>
    <row r="795" spans="20:22" x14ac:dyDescent="0.3">
      <c r="T795" s="25">
        <v>67573</v>
      </c>
      <c r="U795" s="25">
        <f t="shared" si="13"/>
        <v>67603</v>
      </c>
      <c r="V795" s="24">
        <f>SUMIFS(Expense_Tracker_Table[Amount Spent],Expense_Tracker_Table[Expense Date],"&gt;="&amp;T795,Expense_Tracker_Table[Expense Date],"&lt;="&amp;U795)</f>
        <v>0</v>
      </c>
    </row>
    <row r="796" spans="20:22" x14ac:dyDescent="0.3">
      <c r="T796" s="25">
        <v>67604</v>
      </c>
      <c r="U796" s="25">
        <f t="shared" si="13"/>
        <v>67631</v>
      </c>
      <c r="V796" s="24">
        <f>SUMIFS(Expense_Tracker_Table[Amount Spent],Expense_Tracker_Table[Expense Date],"&gt;="&amp;T796,Expense_Tracker_Table[Expense Date],"&lt;="&amp;U796)</f>
        <v>0</v>
      </c>
    </row>
    <row r="797" spans="20:22" x14ac:dyDescent="0.3">
      <c r="T797" s="25">
        <v>67632</v>
      </c>
      <c r="U797" s="25">
        <f t="shared" si="13"/>
        <v>67662</v>
      </c>
      <c r="V797" s="24">
        <f>SUMIFS(Expense_Tracker_Table[Amount Spent],Expense_Tracker_Table[Expense Date],"&gt;="&amp;T797,Expense_Tracker_Table[Expense Date],"&lt;="&amp;U797)</f>
        <v>0</v>
      </c>
    </row>
    <row r="798" spans="20:22" x14ac:dyDescent="0.3">
      <c r="T798" s="25">
        <v>67663</v>
      </c>
      <c r="U798" s="25">
        <f t="shared" si="13"/>
        <v>67692</v>
      </c>
      <c r="V798" s="24">
        <f>SUMIFS(Expense_Tracker_Table[Amount Spent],Expense_Tracker_Table[Expense Date],"&gt;="&amp;T798,Expense_Tracker_Table[Expense Date],"&lt;="&amp;U798)</f>
        <v>0</v>
      </c>
    </row>
    <row r="799" spans="20:22" x14ac:dyDescent="0.3">
      <c r="T799" s="25">
        <v>67693</v>
      </c>
      <c r="U799" s="25">
        <f t="shared" si="13"/>
        <v>67723</v>
      </c>
      <c r="V799" s="24">
        <f>SUMIFS(Expense_Tracker_Table[Amount Spent],Expense_Tracker_Table[Expense Date],"&gt;="&amp;T799,Expense_Tracker_Table[Expense Date],"&lt;="&amp;U799)</f>
        <v>0</v>
      </c>
    </row>
    <row r="800" spans="20:22" x14ac:dyDescent="0.3">
      <c r="T800" s="25">
        <v>67724</v>
      </c>
      <c r="U800" s="25">
        <f t="shared" si="13"/>
        <v>67753</v>
      </c>
      <c r="V800" s="24">
        <f>SUMIFS(Expense_Tracker_Table[Amount Spent],Expense_Tracker_Table[Expense Date],"&gt;="&amp;T800,Expense_Tracker_Table[Expense Date],"&lt;="&amp;U800)</f>
        <v>0</v>
      </c>
    </row>
    <row r="801" spans="20:22" x14ac:dyDescent="0.3">
      <c r="T801" s="25">
        <v>67754</v>
      </c>
      <c r="U801" s="25">
        <f t="shared" si="13"/>
        <v>67784</v>
      </c>
      <c r="V801" s="24">
        <f>SUMIFS(Expense_Tracker_Table[Amount Spent],Expense_Tracker_Table[Expense Date],"&gt;="&amp;T801,Expense_Tracker_Table[Expense Date],"&lt;="&amp;U801)</f>
        <v>0</v>
      </c>
    </row>
    <row r="802" spans="20:22" x14ac:dyDescent="0.3">
      <c r="T802" s="25">
        <v>67785</v>
      </c>
      <c r="U802" s="25">
        <f t="shared" si="13"/>
        <v>67815</v>
      </c>
      <c r="V802" s="24">
        <f>SUMIFS(Expense_Tracker_Table[Amount Spent],Expense_Tracker_Table[Expense Date],"&gt;="&amp;T802,Expense_Tracker_Table[Expense Date],"&lt;="&amp;U802)</f>
        <v>0</v>
      </c>
    </row>
    <row r="803" spans="20:22" x14ac:dyDescent="0.3">
      <c r="T803" s="25">
        <v>67816</v>
      </c>
      <c r="U803" s="25">
        <f t="shared" si="13"/>
        <v>67845</v>
      </c>
      <c r="V803" s="24">
        <f>SUMIFS(Expense_Tracker_Table[Amount Spent],Expense_Tracker_Table[Expense Date],"&gt;="&amp;T803,Expense_Tracker_Table[Expense Date],"&lt;="&amp;U803)</f>
        <v>0</v>
      </c>
    </row>
    <row r="804" spans="20:22" x14ac:dyDescent="0.3">
      <c r="T804" s="25">
        <v>67846</v>
      </c>
      <c r="U804" s="25">
        <f t="shared" si="13"/>
        <v>67876</v>
      </c>
      <c r="V804" s="24">
        <f>SUMIFS(Expense_Tracker_Table[Amount Spent],Expense_Tracker_Table[Expense Date],"&gt;="&amp;T804,Expense_Tracker_Table[Expense Date],"&lt;="&amp;U804)</f>
        <v>0</v>
      </c>
    </row>
    <row r="805" spans="20:22" x14ac:dyDescent="0.3">
      <c r="T805" s="25">
        <v>67877</v>
      </c>
      <c r="U805" s="25">
        <f t="shared" si="13"/>
        <v>67906</v>
      </c>
      <c r="V805" s="24">
        <f>SUMIFS(Expense_Tracker_Table[Amount Spent],Expense_Tracker_Table[Expense Date],"&gt;="&amp;T805,Expense_Tracker_Table[Expense Date],"&lt;="&amp;U805)</f>
        <v>0</v>
      </c>
    </row>
    <row r="806" spans="20:22" x14ac:dyDescent="0.3">
      <c r="T806" s="25">
        <v>67907</v>
      </c>
      <c r="U806" s="25">
        <f t="shared" si="13"/>
        <v>67937</v>
      </c>
      <c r="V806" s="24">
        <f>SUMIFS(Expense_Tracker_Table[Amount Spent],Expense_Tracker_Table[Expense Date],"&gt;="&amp;T806,Expense_Tracker_Table[Expense Date],"&lt;="&amp;U806)</f>
        <v>0</v>
      </c>
    </row>
    <row r="807" spans="20:22" x14ac:dyDescent="0.3">
      <c r="T807" s="25">
        <v>67938</v>
      </c>
      <c r="U807" s="25">
        <f t="shared" si="13"/>
        <v>67968</v>
      </c>
      <c r="V807" s="24">
        <f>SUMIFS(Expense_Tracker_Table[Amount Spent],Expense_Tracker_Table[Expense Date],"&gt;="&amp;T807,Expense_Tracker_Table[Expense Date],"&lt;="&amp;U807)</f>
        <v>0</v>
      </c>
    </row>
    <row r="808" spans="20:22" x14ac:dyDescent="0.3">
      <c r="T808" s="25">
        <v>67969</v>
      </c>
      <c r="U808" s="25">
        <f t="shared" si="13"/>
        <v>67996</v>
      </c>
      <c r="V808" s="24">
        <f>SUMIFS(Expense_Tracker_Table[Amount Spent],Expense_Tracker_Table[Expense Date],"&gt;="&amp;T808,Expense_Tracker_Table[Expense Date],"&lt;="&amp;U808)</f>
        <v>0</v>
      </c>
    </row>
    <row r="809" spans="20:22" x14ac:dyDescent="0.3">
      <c r="T809" s="25">
        <v>67997</v>
      </c>
      <c r="U809" s="25">
        <f t="shared" si="13"/>
        <v>68027</v>
      </c>
      <c r="V809" s="24">
        <f>SUMIFS(Expense_Tracker_Table[Amount Spent],Expense_Tracker_Table[Expense Date],"&gt;="&amp;T809,Expense_Tracker_Table[Expense Date],"&lt;="&amp;U809)</f>
        <v>0</v>
      </c>
    </row>
    <row r="810" spans="20:22" x14ac:dyDescent="0.3">
      <c r="T810" s="25">
        <v>68028</v>
      </c>
      <c r="U810" s="25">
        <f t="shared" si="13"/>
        <v>68057</v>
      </c>
      <c r="V810" s="24">
        <f>SUMIFS(Expense_Tracker_Table[Amount Spent],Expense_Tracker_Table[Expense Date],"&gt;="&amp;T810,Expense_Tracker_Table[Expense Date],"&lt;="&amp;U810)</f>
        <v>0</v>
      </c>
    </row>
    <row r="811" spans="20:22" x14ac:dyDescent="0.3">
      <c r="T811" s="25">
        <v>68058</v>
      </c>
      <c r="U811" s="25">
        <f t="shared" si="13"/>
        <v>68088</v>
      </c>
      <c r="V811" s="24">
        <f>SUMIFS(Expense_Tracker_Table[Amount Spent],Expense_Tracker_Table[Expense Date],"&gt;="&amp;T811,Expense_Tracker_Table[Expense Date],"&lt;="&amp;U811)</f>
        <v>0</v>
      </c>
    </row>
    <row r="812" spans="20:22" x14ac:dyDescent="0.3">
      <c r="T812" s="25">
        <v>68089</v>
      </c>
      <c r="U812" s="25">
        <f t="shared" si="13"/>
        <v>68118</v>
      </c>
      <c r="V812" s="24">
        <f>SUMIFS(Expense_Tracker_Table[Amount Spent],Expense_Tracker_Table[Expense Date],"&gt;="&amp;T812,Expense_Tracker_Table[Expense Date],"&lt;="&amp;U812)</f>
        <v>0</v>
      </c>
    </row>
    <row r="813" spans="20:22" x14ac:dyDescent="0.3">
      <c r="T813" s="25">
        <v>68119</v>
      </c>
      <c r="U813" s="25">
        <f t="shared" si="13"/>
        <v>68149</v>
      </c>
      <c r="V813" s="24">
        <f>SUMIFS(Expense_Tracker_Table[Amount Spent],Expense_Tracker_Table[Expense Date],"&gt;="&amp;T813,Expense_Tracker_Table[Expense Date],"&lt;="&amp;U813)</f>
        <v>0</v>
      </c>
    </row>
    <row r="814" spans="20:22" x14ac:dyDescent="0.3">
      <c r="T814" s="25">
        <v>68150</v>
      </c>
      <c r="U814" s="25">
        <f t="shared" si="13"/>
        <v>68180</v>
      </c>
      <c r="V814" s="24">
        <f>SUMIFS(Expense_Tracker_Table[Amount Spent],Expense_Tracker_Table[Expense Date],"&gt;="&amp;T814,Expense_Tracker_Table[Expense Date],"&lt;="&amp;U814)</f>
        <v>0</v>
      </c>
    </row>
    <row r="815" spans="20:22" x14ac:dyDescent="0.3">
      <c r="T815" s="25">
        <v>68181</v>
      </c>
      <c r="U815" s="25">
        <f t="shared" si="13"/>
        <v>68210</v>
      </c>
      <c r="V815" s="24">
        <f>SUMIFS(Expense_Tracker_Table[Amount Spent],Expense_Tracker_Table[Expense Date],"&gt;="&amp;T815,Expense_Tracker_Table[Expense Date],"&lt;="&amp;U815)</f>
        <v>0</v>
      </c>
    </row>
    <row r="816" spans="20:22" x14ac:dyDescent="0.3">
      <c r="T816" s="25">
        <v>68211</v>
      </c>
      <c r="U816" s="25">
        <f t="shared" si="13"/>
        <v>68241</v>
      </c>
      <c r="V816" s="24">
        <f>SUMIFS(Expense_Tracker_Table[Amount Spent],Expense_Tracker_Table[Expense Date],"&gt;="&amp;T816,Expense_Tracker_Table[Expense Date],"&lt;="&amp;U816)</f>
        <v>0</v>
      </c>
    </row>
    <row r="817" spans="20:22" x14ac:dyDescent="0.3">
      <c r="T817" s="25">
        <v>68242</v>
      </c>
      <c r="U817" s="25">
        <f t="shared" si="13"/>
        <v>68271</v>
      </c>
      <c r="V817" s="24">
        <f>SUMIFS(Expense_Tracker_Table[Amount Spent],Expense_Tracker_Table[Expense Date],"&gt;="&amp;T817,Expense_Tracker_Table[Expense Date],"&lt;="&amp;U817)</f>
        <v>0</v>
      </c>
    </row>
    <row r="818" spans="20:22" x14ac:dyDescent="0.3">
      <c r="T818" s="25">
        <v>68272</v>
      </c>
      <c r="U818" s="25">
        <f t="shared" si="13"/>
        <v>68302</v>
      </c>
      <c r="V818" s="24">
        <f>SUMIFS(Expense_Tracker_Table[Amount Spent],Expense_Tracker_Table[Expense Date],"&gt;="&amp;T818,Expense_Tracker_Table[Expense Date],"&lt;="&amp;U818)</f>
        <v>0</v>
      </c>
    </row>
    <row r="819" spans="20:22" x14ac:dyDescent="0.3">
      <c r="T819" s="25">
        <v>68303</v>
      </c>
      <c r="U819" s="25">
        <f t="shared" si="13"/>
        <v>68333</v>
      </c>
      <c r="V819" s="24">
        <f>SUMIFS(Expense_Tracker_Table[Amount Spent],Expense_Tracker_Table[Expense Date],"&gt;="&amp;T819,Expense_Tracker_Table[Expense Date],"&lt;="&amp;U819)</f>
        <v>0</v>
      </c>
    </row>
    <row r="820" spans="20:22" x14ac:dyDescent="0.3">
      <c r="T820" s="25">
        <v>68334</v>
      </c>
      <c r="U820" s="25">
        <f t="shared" si="13"/>
        <v>68361</v>
      </c>
      <c r="V820" s="24">
        <f>SUMIFS(Expense_Tracker_Table[Amount Spent],Expense_Tracker_Table[Expense Date],"&gt;="&amp;T820,Expense_Tracker_Table[Expense Date],"&lt;="&amp;U820)</f>
        <v>0</v>
      </c>
    </row>
    <row r="821" spans="20:22" x14ac:dyDescent="0.3">
      <c r="T821" s="25">
        <v>68362</v>
      </c>
      <c r="U821" s="25">
        <f t="shared" si="13"/>
        <v>68392</v>
      </c>
      <c r="V821" s="24">
        <f>SUMIFS(Expense_Tracker_Table[Amount Spent],Expense_Tracker_Table[Expense Date],"&gt;="&amp;T821,Expense_Tracker_Table[Expense Date],"&lt;="&amp;U821)</f>
        <v>0</v>
      </c>
    </row>
    <row r="822" spans="20:22" x14ac:dyDescent="0.3">
      <c r="T822" s="25">
        <v>68393</v>
      </c>
      <c r="U822" s="25">
        <f t="shared" si="13"/>
        <v>68422</v>
      </c>
      <c r="V822" s="24">
        <f>SUMIFS(Expense_Tracker_Table[Amount Spent],Expense_Tracker_Table[Expense Date],"&gt;="&amp;T822,Expense_Tracker_Table[Expense Date],"&lt;="&amp;U822)</f>
        <v>0</v>
      </c>
    </row>
    <row r="823" spans="20:22" x14ac:dyDescent="0.3">
      <c r="T823" s="25">
        <v>68423</v>
      </c>
      <c r="U823" s="25">
        <f t="shared" si="13"/>
        <v>68453</v>
      </c>
      <c r="V823" s="24">
        <f>SUMIFS(Expense_Tracker_Table[Amount Spent],Expense_Tracker_Table[Expense Date],"&gt;="&amp;T823,Expense_Tracker_Table[Expense Date],"&lt;="&amp;U823)</f>
        <v>0</v>
      </c>
    </row>
    <row r="824" spans="20:22" x14ac:dyDescent="0.3">
      <c r="T824" s="25">
        <v>68454</v>
      </c>
      <c r="U824" s="25">
        <f t="shared" si="13"/>
        <v>68483</v>
      </c>
      <c r="V824" s="24">
        <f>SUMIFS(Expense_Tracker_Table[Amount Spent],Expense_Tracker_Table[Expense Date],"&gt;="&amp;T824,Expense_Tracker_Table[Expense Date],"&lt;="&amp;U824)</f>
        <v>0</v>
      </c>
    </row>
    <row r="825" spans="20:22" x14ac:dyDescent="0.3">
      <c r="T825" s="25">
        <v>68484</v>
      </c>
      <c r="U825" s="25">
        <f t="shared" si="13"/>
        <v>68514</v>
      </c>
      <c r="V825" s="24">
        <f>SUMIFS(Expense_Tracker_Table[Amount Spent],Expense_Tracker_Table[Expense Date],"&gt;="&amp;T825,Expense_Tracker_Table[Expense Date],"&lt;="&amp;U825)</f>
        <v>0</v>
      </c>
    </row>
    <row r="826" spans="20:22" x14ac:dyDescent="0.3">
      <c r="T826" s="25">
        <v>68515</v>
      </c>
      <c r="U826" s="25">
        <f t="shared" si="13"/>
        <v>68545</v>
      </c>
      <c r="V826" s="24">
        <f>SUMIFS(Expense_Tracker_Table[Amount Spent],Expense_Tracker_Table[Expense Date],"&gt;="&amp;T826,Expense_Tracker_Table[Expense Date],"&lt;="&amp;U826)</f>
        <v>0</v>
      </c>
    </row>
    <row r="827" spans="20:22" x14ac:dyDescent="0.3">
      <c r="T827" s="25">
        <v>68546</v>
      </c>
      <c r="U827" s="25">
        <f t="shared" si="13"/>
        <v>68575</v>
      </c>
      <c r="V827" s="24">
        <f>SUMIFS(Expense_Tracker_Table[Amount Spent],Expense_Tracker_Table[Expense Date],"&gt;="&amp;T827,Expense_Tracker_Table[Expense Date],"&lt;="&amp;U827)</f>
        <v>0</v>
      </c>
    </row>
    <row r="828" spans="20:22" x14ac:dyDescent="0.3">
      <c r="T828" s="25">
        <v>68576</v>
      </c>
      <c r="U828" s="25">
        <f t="shared" si="13"/>
        <v>68606</v>
      </c>
      <c r="V828" s="24">
        <f>SUMIFS(Expense_Tracker_Table[Amount Spent],Expense_Tracker_Table[Expense Date],"&gt;="&amp;T828,Expense_Tracker_Table[Expense Date],"&lt;="&amp;U828)</f>
        <v>0</v>
      </c>
    </row>
    <row r="829" spans="20:22" x14ac:dyDescent="0.3">
      <c r="T829" s="25">
        <v>68607</v>
      </c>
      <c r="U829" s="25">
        <f t="shared" si="13"/>
        <v>68636</v>
      </c>
      <c r="V829" s="24">
        <f>SUMIFS(Expense_Tracker_Table[Amount Spent],Expense_Tracker_Table[Expense Date],"&gt;="&amp;T829,Expense_Tracker_Table[Expense Date],"&lt;="&amp;U829)</f>
        <v>0</v>
      </c>
    </row>
    <row r="830" spans="20:22" x14ac:dyDescent="0.3">
      <c r="T830" s="25">
        <v>68637</v>
      </c>
      <c r="U830" s="25">
        <f t="shared" si="13"/>
        <v>68667</v>
      </c>
      <c r="V830" s="24">
        <f>SUMIFS(Expense_Tracker_Table[Amount Spent],Expense_Tracker_Table[Expense Date],"&gt;="&amp;T830,Expense_Tracker_Table[Expense Date],"&lt;="&amp;U830)</f>
        <v>0</v>
      </c>
    </row>
    <row r="831" spans="20:22" x14ac:dyDescent="0.3">
      <c r="T831" s="25">
        <v>68668</v>
      </c>
      <c r="U831" s="25">
        <f t="shared" si="13"/>
        <v>68698</v>
      </c>
      <c r="V831" s="24">
        <f>SUMIFS(Expense_Tracker_Table[Amount Spent],Expense_Tracker_Table[Expense Date],"&gt;="&amp;T831,Expense_Tracker_Table[Expense Date],"&lt;="&amp;U831)</f>
        <v>0</v>
      </c>
    </row>
    <row r="832" spans="20:22" x14ac:dyDescent="0.3">
      <c r="T832" s="25">
        <v>68699</v>
      </c>
      <c r="U832" s="25">
        <f t="shared" si="13"/>
        <v>68727</v>
      </c>
      <c r="V832" s="24">
        <f>SUMIFS(Expense_Tracker_Table[Amount Spent],Expense_Tracker_Table[Expense Date],"&gt;="&amp;T832,Expense_Tracker_Table[Expense Date],"&lt;="&amp;U832)</f>
        <v>0</v>
      </c>
    </row>
    <row r="833" spans="20:22" x14ac:dyDescent="0.3">
      <c r="T833" s="25">
        <v>68728</v>
      </c>
      <c r="U833" s="25">
        <f t="shared" si="13"/>
        <v>68758</v>
      </c>
      <c r="V833" s="24">
        <f>SUMIFS(Expense_Tracker_Table[Amount Spent],Expense_Tracker_Table[Expense Date],"&gt;="&amp;T833,Expense_Tracker_Table[Expense Date],"&lt;="&amp;U833)</f>
        <v>0</v>
      </c>
    </row>
    <row r="834" spans="20:22" x14ac:dyDescent="0.3">
      <c r="T834" s="25">
        <v>68759</v>
      </c>
      <c r="U834" s="25">
        <f t="shared" si="13"/>
        <v>68788</v>
      </c>
      <c r="V834" s="24">
        <f>SUMIFS(Expense_Tracker_Table[Amount Spent],Expense_Tracker_Table[Expense Date],"&gt;="&amp;T834,Expense_Tracker_Table[Expense Date],"&lt;="&amp;U834)</f>
        <v>0</v>
      </c>
    </row>
    <row r="835" spans="20:22" x14ac:dyDescent="0.3">
      <c r="T835" s="25">
        <v>68789</v>
      </c>
      <c r="U835" s="25">
        <f t="shared" si="13"/>
        <v>68819</v>
      </c>
      <c r="V835" s="24">
        <f>SUMIFS(Expense_Tracker_Table[Amount Spent],Expense_Tracker_Table[Expense Date],"&gt;="&amp;T835,Expense_Tracker_Table[Expense Date],"&lt;="&amp;U835)</f>
        <v>0</v>
      </c>
    </row>
    <row r="836" spans="20:22" x14ac:dyDescent="0.3">
      <c r="T836" s="25">
        <v>68820</v>
      </c>
      <c r="U836" s="25">
        <f t="shared" si="13"/>
        <v>68849</v>
      </c>
      <c r="V836" s="24">
        <f>SUMIFS(Expense_Tracker_Table[Amount Spent],Expense_Tracker_Table[Expense Date],"&gt;="&amp;T836,Expense_Tracker_Table[Expense Date],"&lt;="&amp;U836)</f>
        <v>0</v>
      </c>
    </row>
    <row r="837" spans="20:22" x14ac:dyDescent="0.3">
      <c r="T837" s="25">
        <v>68850</v>
      </c>
      <c r="U837" s="25">
        <f t="shared" si="13"/>
        <v>68880</v>
      </c>
      <c r="V837" s="24">
        <f>SUMIFS(Expense_Tracker_Table[Amount Spent],Expense_Tracker_Table[Expense Date],"&gt;="&amp;T837,Expense_Tracker_Table[Expense Date],"&lt;="&amp;U837)</f>
        <v>0</v>
      </c>
    </row>
    <row r="838" spans="20:22" x14ac:dyDescent="0.3">
      <c r="T838" s="25">
        <v>68881</v>
      </c>
      <c r="U838" s="25">
        <f t="shared" si="13"/>
        <v>68911</v>
      </c>
      <c r="V838" s="24">
        <f>SUMIFS(Expense_Tracker_Table[Amount Spent],Expense_Tracker_Table[Expense Date],"&gt;="&amp;T838,Expense_Tracker_Table[Expense Date],"&lt;="&amp;U838)</f>
        <v>0</v>
      </c>
    </row>
    <row r="839" spans="20:22" x14ac:dyDescent="0.3">
      <c r="T839" s="25">
        <v>68912</v>
      </c>
      <c r="U839" s="25">
        <f t="shared" si="13"/>
        <v>68941</v>
      </c>
      <c r="V839" s="24">
        <f>SUMIFS(Expense_Tracker_Table[Amount Spent],Expense_Tracker_Table[Expense Date],"&gt;="&amp;T839,Expense_Tracker_Table[Expense Date],"&lt;="&amp;U839)</f>
        <v>0</v>
      </c>
    </row>
    <row r="840" spans="20:22" x14ac:dyDescent="0.3">
      <c r="T840" s="25">
        <v>68942</v>
      </c>
      <c r="U840" s="25">
        <f t="shared" si="13"/>
        <v>68972</v>
      </c>
      <c r="V840" s="24">
        <f>SUMIFS(Expense_Tracker_Table[Amount Spent],Expense_Tracker_Table[Expense Date],"&gt;="&amp;T840,Expense_Tracker_Table[Expense Date],"&lt;="&amp;U840)</f>
        <v>0</v>
      </c>
    </row>
    <row r="841" spans="20:22" x14ac:dyDescent="0.3">
      <c r="T841" s="25">
        <v>68973</v>
      </c>
      <c r="U841" s="25">
        <f t="shared" ref="U841:U904" si="14">EOMONTH(T841,0)</f>
        <v>69002</v>
      </c>
      <c r="V841" s="24">
        <f>SUMIFS(Expense_Tracker_Table[Amount Spent],Expense_Tracker_Table[Expense Date],"&gt;="&amp;T841,Expense_Tracker_Table[Expense Date],"&lt;="&amp;U841)</f>
        <v>0</v>
      </c>
    </row>
    <row r="842" spans="20:22" x14ac:dyDescent="0.3">
      <c r="T842" s="25">
        <v>69003</v>
      </c>
      <c r="U842" s="25">
        <f t="shared" si="14"/>
        <v>69033</v>
      </c>
      <c r="V842" s="24">
        <f>SUMIFS(Expense_Tracker_Table[Amount Spent],Expense_Tracker_Table[Expense Date],"&gt;="&amp;T842,Expense_Tracker_Table[Expense Date],"&lt;="&amp;U842)</f>
        <v>0</v>
      </c>
    </row>
    <row r="843" spans="20:22" x14ac:dyDescent="0.3">
      <c r="T843" s="25">
        <v>69034</v>
      </c>
      <c r="U843" s="25">
        <f t="shared" si="14"/>
        <v>69064</v>
      </c>
      <c r="V843" s="24">
        <f>SUMIFS(Expense_Tracker_Table[Amount Spent],Expense_Tracker_Table[Expense Date],"&gt;="&amp;T843,Expense_Tracker_Table[Expense Date],"&lt;="&amp;U843)</f>
        <v>0</v>
      </c>
    </row>
    <row r="844" spans="20:22" x14ac:dyDescent="0.3">
      <c r="T844" s="25">
        <v>69065</v>
      </c>
      <c r="U844" s="25">
        <f t="shared" si="14"/>
        <v>69092</v>
      </c>
      <c r="V844" s="24">
        <f>SUMIFS(Expense_Tracker_Table[Amount Spent],Expense_Tracker_Table[Expense Date],"&gt;="&amp;T844,Expense_Tracker_Table[Expense Date],"&lt;="&amp;U844)</f>
        <v>0</v>
      </c>
    </row>
    <row r="845" spans="20:22" x14ac:dyDescent="0.3">
      <c r="T845" s="25">
        <v>69093</v>
      </c>
      <c r="U845" s="25">
        <f t="shared" si="14"/>
        <v>69123</v>
      </c>
      <c r="V845" s="24">
        <f>SUMIFS(Expense_Tracker_Table[Amount Spent],Expense_Tracker_Table[Expense Date],"&gt;="&amp;T845,Expense_Tracker_Table[Expense Date],"&lt;="&amp;U845)</f>
        <v>0</v>
      </c>
    </row>
    <row r="846" spans="20:22" x14ac:dyDescent="0.3">
      <c r="T846" s="25">
        <v>69124</v>
      </c>
      <c r="U846" s="25">
        <f t="shared" si="14"/>
        <v>69153</v>
      </c>
      <c r="V846" s="24">
        <f>SUMIFS(Expense_Tracker_Table[Amount Spent],Expense_Tracker_Table[Expense Date],"&gt;="&amp;T846,Expense_Tracker_Table[Expense Date],"&lt;="&amp;U846)</f>
        <v>0</v>
      </c>
    </row>
    <row r="847" spans="20:22" x14ac:dyDescent="0.3">
      <c r="T847" s="25">
        <v>69154</v>
      </c>
      <c r="U847" s="25">
        <f t="shared" si="14"/>
        <v>69184</v>
      </c>
      <c r="V847" s="24">
        <f>SUMIFS(Expense_Tracker_Table[Amount Spent],Expense_Tracker_Table[Expense Date],"&gt;="&amp;T847,Expense_Tracker_Table[Expense Date],"&lt;="&amp;U847)</f>
        <v>0</v>
      </c>
    </row>
    <row r="848" spans="20:22" x14ac:dyDescent="0.3">
      <c r="T848" s="25">
        <v>69185</v>
      </c>
      <c r="U848" s="25">
        <f t="shared" si="14"/>
        <v>69214</v>
      </c>
      <c r="V848" s="24">
        <f>SUMIFS(Expense_Tracker_Table[Amount Spent],Expense_Tracker_Table[Expense Date],"&gt;="&amp;T848,Expense_Tracker_Table[Expense Date],"&lt;="&amp;U848)</f>
        <v>0</v>
      </c>
    </row>
    <row r="849" spans="20:22" x14ac:dyDescent="0.3">
      <c r="T849" s="25">
        <v>69215</v>
      </c>
      <c r="U849" s="25">
        <f t="shared" si="14"/>
        <v>69245</v>
      </c>
      <c r="V849" s="24">
        <f>SUMIFS(Expense_Tracker_Table[Amount Spent],Expense_Tracker_Table[Expense Date],"&gt;="&amp;T849,Expense_Tracker_Table[Expense Date],"&lt;="&amp;U849)</f>
        <v>0</v>
      </c>
    </row>
    <row r="850" spans="20:22" x14ac:dyDescent="0.3">
      <c r="T850" s="25">
        <v>69246</v>
      </c>
      <c r="U850" s="25">
        <f t="shared" si="14"/>
        <v>69276</v>
      </c>
      <c r="V850" s="24">
        <f>SUMIFS(Expense_Tracker_Table[Amount Spent],Expense_Tracker_Table[Expense Date],"&gt;="&amp;T850,Expense_Tracker_Table[Expense Date],"&lt;="&amp;U850)</f>
        <v>0</v>
      </c>
    </row>
    <row r="851" spans="20:22" x14ac:dyDescent="0.3">
      <c r="T851" s="25">
        <v>69277</v>
      </c>
      <c r="U851" s="25">
        <f t="shared" si="14"/>
        <v>69306</v>
      </c>
      <c r="V851" s="24">
        <f>SUMIFS(Expense_Tracker_Table[Amount Spent],Expense_Tracker_Table[Expense Date],"&gt;="&amp;T851,Expense_Tracker_Table[Expense Date],"&lt;="&amp;U851)</f>
        <v>0</v>
      </c>
    </row>
    <row r="852" spans="20:22" x14ac:dyDescent="0.3">
      <c r="T852" s="25">
        <v>69307</v>
      </c>
      <c r="U852" s="25">
        <f t="shared" si="14"/>
        <v>69337</v>
      </c>
      <c r="V852" s="24">
        <f>SUMIFS(Expense_Tracker_Table[Amount Spent],Expense_Tracker_Table[Expense Date],"&gt;="&amp;T852,Expense_Tracker_Table[Expense Date],"&lt;="&amp;U852)</f>
        <v>0</v>
      </c>
    </row>
    <row r="853" spans="20:22" x14ac:dyDescent="0.3">
      <c r="T853" s="25">
        <v>69338</v>
      </c>
      <c r="U853" s="25">
        <f t="shared" si="14"/>
        <v>69367</v>
      </c>
      <c r="V853" s="24">
        <f>SUMIFS(Expense_Tracker_Table[Amount Spent],Expense_Tracker_Table[Expense Date],"&gt;="&amp;T853,Expense_Tracker_Table[Expense Date],"&lt;="&amp;U853)</f>
        <v>0</v>
      </c>
    </row>
    <row r="854" spans="20:22" x14ac:dyDescent="0.3">
      <c r="T854" s="25">
        <v>69368</v>
      </c>
      <c r="U854" s="25">
        <f t="shared" si="14"/>
        <v>69398</v>
      </c>
      <c r="V854" s="24">
        <f>SUMIFS(Expense_Tracker_Table[Amount Spent],Expense_Tracker_Table[Expense Date],"&gt;="&amp;T854,Expense_Tracker_Table[Expense Date],"&lt;="&amp;U854)</f>
        <v>0</v>
      </c>
    </row>
    <row r="855" spans="20:22" x14ac:dyDescent="0.3">
      <c r="T855" s="25">
        <v>69399</v>
      </c>
      <c r="U855" s="25">
        <f t="shared" si="14"/>
        <v>69429</v>
      </c>
      <c r="V855" s="24">
        <f>SUMIFS(Expense_Tracker_Table[Amount Spent],Expense_Tracker_Table[Expense Date],"&gt;="&amp;T855,Expense_Tracker_Table[Expense Date],"&lt;="&amp;U855)</f>
        <v>0</v>
      </c>
    </row>
    <row r="856" spans="20:22" x14ac:dyDescent="0.3">
      <c r="T856" s="25">
        <v>69430</v>
      </c>
      <c r="U856" s="25">
        <f t="shared" si="14"/>
        <v>69457</v>
      </c>
      <c r="V856" s="24">
        <f>SUMIFS(Expense_Tracker_Table[Amount Spent],Expense_Tracker_Table[Expense Date],"&gt;="&amp;T856,Expense_Tracker_Table[Expense Date],"&lt;="&amp;U856)</f>
        <v>0</v>
      </c>
    </row>
    <row r="857" spans="20:22" x14ac:dyDescent="0.3">
      <c r="T857" s="25">
        <v>69458</v>
      </c>
      <c r="U857" s="25">
        <f t="shared" si="14"/>
        <v>69488</v>
      </c>
      <c r="V857" s="24">
        <f>SUMIFS(Expense_Tracker_Table[Amount Spent],Expense_Tracker_Table[Expense Date],"&gt;="&amp;T857,Expense_Tracker_Table[Expense Date],"&lt;="&amp;U857)</f>
        <v>0</v>
      </c>
    </row>
    <row r="858" spans="20:22" x14ac:dyDescent="0.3">
      <c r="T858" s="25">
        <v>69489</v>
      </c>
      <c r="U858" s="25">
        <f t="shared" si="14"/>
        <v>69518</v>
      </c>
      <c r="V858" s="24">
        <f>SUMIFS(Expense_Tracker_Table[Amount Spent],Expense_Tracker_Table[Expense Date],"&gt;="&amp;T858,Expense_Tracker_Table[Expense Date],"&lt;="&amp;U858)</f>
        <v>0</v>
      </c>
    </row>
    <row r="859" spans="20:22" x14ac:dyDescent="0.3">
      <c r="T859" s="25">
        <v>69519</v>
      </c>
      <c r="U859" s="25">
        <f t="shared" si="14"/>
        <v>69549</v>
      </c>
      <c r="V859" s="24">
        <f>SUMIFS(Expense_Tracker_Table[Amount Spent],Expense_Tracker_Table[Expense Date],"&gt;="&amp;T859,Expense_Tracker_Table[Expense Date],"&lt;="&amp;U859)</f>
        <v>0</v>
      </c>
    </row>
    <row r="860" spans="20:22" x14ac:dyDescent="0.3">
      <c r="T860" s="25">
        <v>69550</v>
      </c>
      <c r="U860" s="25">
        <f t="shared" si="14"/>
        <v>69579</v>
      </c>
      <c r="V860" s="24">
        <f>SUMIFS(Expense_Tracker_Table[Amount Spent],Expense_Tracker_Table[Expense Date],"&gt;="&amp;T860,Expense_Tracker_Table[Expense Date],"&lt;="&amp;U860)</f>
        <v>0</v>
      </c>
    </row>
    <row r="861" spans="20:22" x14ac:dyDescent="0.3">
      <c r="T861" s="25">
        <v>69580</v>
      </c>
      <c r="U861" s="25">
        <f t="shared" si="14"/>
        <v>69610</v>
      </c>
      <c r="V861" s="24">
        <f>SUMIFS(Expense_Tracker_Table[Amount Spent],Expense_Tracker_Table[Expense Date],"&gt;="&amp;T861,Expense_Tracker_Table[Expense Date],"&lt;="&amp;U861)</f>
        <v>0</v>
      </c>
    </row>
    <row r="862" spans="20:22" x14ac:dyDescent="0.3">
      <c r="T862" s="25">
        <v>69611</v>
      </c>
      <c r="U862" s="25">
        <f t="shared" si="14"/>
        <v>69641</v>
      </c>
      <c r="V862" s="24">
        <f>SUMIFS(Expense_Tracker_Table[Amount Spent],Expense_Tracker_Table[Expense Date],"&gt;="&amp;T862,Expense_Tracker_Table[Expense Date],"&lt;="&amp;U862)</f>
        <v>0</v>
      </c>
    </row>
    <row r="863" spans="20:22" x14ac:dyDescent="0.3">
      <c r="T863" s="25">
        <v>69642</v>
      </c>
      <c r="U863" s="25">
        <f t="shared" si="14"/>
        <v>69671</v>
      </c>
      <c r="V863" s="24">
        <f>SUMIFS(Expense_Tracker_Table[Amount Spent],Expense_Tracker_Table[Expense Date],"&gt;="&amp;T863,Expense_Tracker_Table[Expense Date],"&lt;="&amp;U863)</f>
        <v>0</v>
      </c>
    </row>
    <row r="864" spans="20:22" x14ac:dyDescent="0.3">
      <c r="T864" s="25">
        <v>69672</v>
      </c>
      <c r="U864" s="25">
        <f t="shared" si="14"/>
        <v>69702</v>
      </c>
      <c r="V864" s="24">
        <f>SUMIFS(Expense_Tracker_Table[Amount Spent],Expense_Tracker_Table[Expense Date],"&gt;="&amp;T864,Expense_Tracker_Table[Expense Date],"&lt;="&amp;U864)</f>
        <v>0</v>
      </c>
    </row>
    <row r="865" spans="20:22" x14ac:dyDescent="0.3">
      <c r="T865" s="25">
        <v>69703</v>
      </c>
      <c r="U865" s="25">
        <f t="shared" si="14"/>
        <v>69732</v>
      </c>
      <c r="V865" s="24">
        <f>SUMIFS(Expense_Tracker_Table[Amount Spent],Expense_Tracker_Table[Expense Date],"&gt;="&amp;T865,Expense_Tracker_Table[Expense Date],"&lt;="&amp;U865)</f>
        <v>0</v>
      </c>
    </row>
    <row r="866" spans="20:22" x14ac:dyDescent="0.3">
      <c r="T866" s="25">
        <v>69733</v>
      </c>
      <c r="U866" s="25">
        <f t="shared" si="14"/>
        <v>69763</v>
      </c>
      <c r="V866" s="24">
        <f>SUMIFS(Expense_Tracker_Table[Amount Spent],Expense_Tracker_Table[Expense Date],"&gt;="&amp;T866,Expense_Tracker_Table[Expense Date],"&lt;="&amp;U866)</f>
        <v>0</v>
      </c>
    </row>
    <row r="867" spans="20:22" x14ac:dyDescent="0.3">
      <c r="T867" s="25">
        <v>69764</v>
      </c>
      <c r="U867" s="25">
        <f t="shared" si="14"/>
        <v>69794</v>
      </c>
      <c r="V867" s="24">
        <f>SUMIFS(Expense_Tracker_Table[Amount Spent],Expense_Tracker_Table[Expense Date],"&gt;="&amp;T867,Expense_Tracker_Table[Expense Date],"&lt;="&amp;U867)</f>
        <v>0</v>
      </c>
    </row>
    <row r="868" spans="20:22" x14ac:dyDescent="0.3">
      <c r="T868" s="25">
        <v>69795</v>
      </c>
      <c r="U868" s="25">
        <f t="shared" si="14"/>
        <v>69822</v>
      </c>
      <c r="V868" s="24">
        <f>SUMIFS(Expense_Tracker_Table[Amount Spent],Expense_Tracker_Table[Expense Date],"&gt;="&amp;T868,Expense_Tracker_Table[Expense Date],"&lt;="&amp;U868)</f>
        <v>0</v>
      </c>
    </row>
    <row r="869" spans="20:22" x14ac:dyDescent="0.3">
      <c r="T869" s="25">
        <v>69823</v>
      </c>
      <c r="U869" s="25">
        <f t="shared" si="14"/>
        <v>69853</v>
      </c>
      <c r="V869" s="24">
        <f>SUMIFS(Expense_Tracker_Table[Amount Spent],Expense_Tracker_Table[Expense Date],"&gt;="&amp;T869,Expense_Tracker_Table[Expense Date],"&lt;="&amp;U869)</f>
        <v>0</v>
      </c>
    </row>
    <row r="870" spans="20:22" x14ac:dyDescent="0.3">
      <c r="T870" s="25">
        <v>69854</v>
      </c>
      <c r="U870" s="25">
        <f t="shared" si="14"/>
        <v>69883</v>
      </c>
      <c r="V870" s="24">
        <f>SUMIFS(Expense_Tracker_Table[Amount Spent],Expense_Tracker_Table[Expense Date],"&gt;="&amp;T870,Expense_Tracker_Table[Expense Date],"&lt;="&amp;U870)</f>
        <v>0</v>
      </c>
    </row>
    <row r="871" spans="20:22" x14ac:dyDescent="0.3">
      <c r="T871" s="25">
        <v>69884</v>
      </c>
      <c r="U871" s="25">
        <f t="shared" si="14"/>
        <v>69914</v>
      </c>
      <c r="V871" s="24">
        <f>SUMIFS(Expense_Tracker_Table[Amount Spent],Expense_Tracker_Table[Expense Date],"&gt;="&amp;T871,Expense_Tracker_Table[Expense Date],"&lt;="&amp;U871)</f>
        <v>0</v>
      </c>
    </row>
    <row r="872" spans="20:22" x14ac:dyDescent="0.3">
      <c r="T872" s="25">
        <v>69915</v>
      </c>
      <c r="U872" s="25">
        <f t="shared" si="14"/>
        <v>69944</v>
      </c>
      <c r="V872" s="24">
        <f>SUMIFS(Expense_Tracker_Table[Amount Spent],Expense_Tracker_Table[Expense Date],"&gt;="&amp;T872,Expense_Tracker_Table[Expense Date],"&lt;="&amp;U872)</f>
        <v>0</v>
      </c>
    </row>
    <row r="873" spans="20:22" x14ac:dyDescent="0.3">
      <c r="T873" s="25">
        <v>69945</v>
      </c>
      <c r="U873" s="25">
        <f t="shared" si="14"/>
        <v>69975</v>
      </c>
      <c r="V873" s="24">
        <f>SUMIFS(Expense_Tracker_Table[Amount Spent],Expense_Tracker_Table[Expense Date],"&gt;="&amp;T873,Expense_Tracker_Table[Expense Date],"&lt;="&amp;U873)</f>
        <v>0</v>
      </c>
    </row>
    <row r="874" spans="20:22" x14ac:dyDescent="0.3">
      <c r="T874" s="25">
        <v>69976</v>
      </c>
      <c r="U874" s="25">
        <f t="shared" si="14"/>
        <v>70006</v>
      </c>
      <c r="V874" s="24">
        <f>SUMIFS(Expense_Tracker_Table[Amount Spent],Expense_Tracker_Table[Expense Date],"&gt;="&amp;T874,Expense_Tracker_Table[Expense Date],"&lt;="&amp;U874)</f>
        <v>0</v>
      </c>
    </row>
    <row r="875" spans="20:22" x14ac:dyDescent="0.3">
      <c r="T875" s="25">
        <v>70007</v>
      </c>
      <c r="U875" s="25">
        <f t="shared" si="14"/>
        <v>70036</v>
      </c>
      <c r="V875" s="24">
        <f>SUMIFS(Expense_Tracker_Table[Amount Spent],Expense_Tracker_Table[Expense Date],"&gt;="&amp;T875,Expense_Tracker_Table[Expense Date],"&lt;="&amp;U875)</f>
        <v>0</v>
      </c>
    </row>
    <row r="876" spans="20:22" x14ac:dyDescent="0.3">
      <c r="T876" s="25">
        <v>70037</v>
      </c>
      <c r="U876" s="25">
        <f t="shared" si="14"/>
        <v>70067</v>
      </c>
      <c r="V876" s="24">
        <f>SUMIFS(Expense_Tracker_Table[Amount Spent],Expense_Tracker_Table[Expense Date],"&gt;="&amp;T876,Expense_Tracker_Table[Expense Date],"&lt;="&amp;U876)</f>
        <v>0</v>
      </c>
    </row>
    <row r="877" spans="20:22" x14ac:dyDescent="0.3">
      <c r="T877" s="25">
        <v>70068</v>
      </c>
      <c r="U877" s="25">
        <f t="shared" si="14"/>
        <v>70097</v>
      </c>
      <c r="V877" s="24">
        <f>SUMIFS(Expense_Tracker_Table[Amount Spent],Expense_Tracker_Table[Expense Date],"&gt;="&amp;T877,Expense_Tracker_Table[Expense Date],"&lt;="&amp;U877)</f>
        <v>0</v>
      </c>
    </row>
    <row r="878" spans="20:22" x14ac:dyDescent="0.3">
      <c r="T878" s="25">
        <v>70098</v>
      </c>
      <c r="U878" s="25">
        <f t="shared" si="14"/>
        <v>70128</v>
      </c>
      <c r="V878" s="24">
        <f>SUMIFS(Expense_Tracker_Table[Amount Spent],Expense_Tracker_Table[Expense Date],"&gt;="&amp;T878,Expense_Tracker_Table[Expense Date],"&lt;="&amp;U878)</f>
        <v>0</v>
      </c>
    </row>
    <row r="879" spans="20:22" x14ac:dyDescent="0.3">
      <c r="T879" s="25">
        <v>70129</v>
      </c>
      <c r="U879" s="25">
        <f t="shared" si="14"/>
        <v>70159</v>
      </c>
      <c r="V879" s="24">
        <f>SUMIFS(Expense_Tracker_Table[Amount Spent],Expense_Tracker_Table[Expense Date],"&gt;="&amp;T879,Expense_Tracker_Table[Expense Date],"&lt;="&amp;U879)</f>
        <v>0</v>
      </c>
    </row>
    <row r="880" spans="20:22" x14ac:dyDescent="0.3">
      <c r="T880" s="25">
        <v>70160</v>
      </c>
      <c r="U880" s="25">
        <f t="shared" si="14"/>
        <v>70188</v>
      </c>
      <c r="V880" s="24">
        <f>SUMIFS(Expense_Tracker_Table[Amount Spent],Expense_Tracker_Table[Expense Date],"&gt;="&amp;T880,Expense_Tracker_Table[Expense Date],"&lt;="&amp;U880)</f>
        <v>0</v>
      </c>
    </row>
    <row r="881" spans="20:22" x14ac:dyDescent="0.3">
      <c r="T881" s="25">
        <v>70189</v>
      </c>
      <c r="U881" s="25">
        <f t="shared" si="14"/>
        <v>70219</v>
      </c>
      <c r="V881" s="24">
        <f>SUMIFS(Expense_Tracker_Table[Amount Spent],Expense_Tracker_Table[Expense Date],"&gt;="&amp;T881,Expense_Tracker_Table[Expense Date],"&lt;="&amp;U881)</f>
        <v>0</v>
      </c>
    </row>
    <row r="882" spans="20:22" x14ac:dyDescent="0.3">
      <c r="T882" s="25">
        <v>70220</v>
      </c>
      <c r="U882" s="25">
        <f t="shared" si="14"/>
        <v>70249</v>
      </c>
      <c r="V882" s="24">
        <f>SUMIFS(Expense_Tracker_Table[Amount Spent],Expense_Tracker_Table[Expense Date],"&gt;="&amp;T882,Expense_Tracker_Table[Expense Date],"&lt;="&amp;U882)</f>
        <v>0</v>
      </c>
    </row>
    <row r="883" spans="20:22" x14ac:dyDescent="0.3">
      <c r="T883" s="25">
        <v>70250</v>
      </c>
      <c r="U883" s="25">
        <f t="shared" si="14"/>
        <v>70280</v>
      </c>
      <c r="V883" s="24">
        <f>SUMIFS(Expense_Tracker_Table[Amount Spent],Expense_Tracker_Table[Expense Date],"&gt;="&amp;T883,Expense_Tracker_Table[Expense Date],"&lt;="&amp;U883)</f>
        <v>0</v>
      </c>
    </row>
    <row r="884" spans="20:22" x14ac:dyDescent="0.3">
      <c r="T884" s="25">
        <v>70281</v>
      </c>
      <c r="U884" s="25">
        <f t="shared" si="14"/>
        <v>70310</v>
      </c>
      <c r="V884" s="24">
        <f>SUMIFS(Expense_Tracker_Table[Amount Spent],Expense_Tracker_Table[Expense Date],"&gt;="&amp;T884,Expense_Tracker_Table[Expense Date],"&lt;="&amp;U884)</f>
        <v>0</v>
      </c>
    </row>
    <row r="885" spans="20:22" x14ac:dyDescent="0.3">
      <c r="T885" s="25">
        <v>70311</v>
      </c>
      <c r="U885" s="25">
        <f t="shared" si="14"/>
        <v>70341</v>
      </c>
      <c r="V885" s="24">
        <f>SUMIFS(Expense_Tracker_Table[Amount Spent],Expense_Tracker_Table[Expense Date],"&gt;="&amp;T885,Expense_Tracker_Table[Expense Date],"&lt;="&amp;U885)</f>
        <v>0</v>
      </c>
    </row>
    <row r="886" spans="20:22" x14ac:dyDescent="0.3">
      <c r="T886" s="25">
        <v>70342</v>
      </c>
      <c r="U886" s="25">
        <f t="shared" si="14"/>
        <v>70372</v>
      </c>
      <c r="V886" s="24">
        <f>SUMIFS(Expense_Tracker_Table[Amount Spent],Expense_Tracker_Table[Expense Date],"&gt;="&amp;T886,Expense_Tracker_Table[Expense Date],"&lt;="&amp;U886)</f>
        <v>0</v>
      </c>
    </row>
    <row r="887" spans="20:22" x14ac:dyDescent="0.3">
      <c r="T887" s="25">
        <v>70373</v>
      </c>
      <c r="U887" s="25">
        <f t="shared" si="14"/>
        <v>70402</v>
      </c>
      <c r="V887" s="24">
        <f>SUMIFS(Expense_Tracker_Table[Amount Spent],Expense_Tracker_Table[Expense Date],"&gt;="&amp;T887,Expense_Tracker_Table[Expense Date],"&lt;="&amp;U887)</f>
        <v>0</v>
      </c>
    </row>
    <row r="888" spans="20:22" x14ac:dyDescent="0.3">
      <c r="T888" s="25">
        <v>70403</v>
      </c>
      <c r="U888" s="25">
        <f t="shared" si="14"/>
        <v>70433</v>
      </c>
      <c r="V888" s="24">
        <f>SUMIFS(Expense_Tracker_Table[Amount Spent],Expense_Tracker_Table[Expense Date],"&gt;="&amp;T888,Expense_Tracker_Table[Expense Date],"&lt;="&amp;U888)</f>
        <v>0</v>
      </c>
    </row>
    <row r="889" spans="20:22" x14ac:dyDescent="0.3">
      <c r="T889" s="25">
        <v>70434</v>
      </c>
      <c r="U889" s="25">
        <f t="shared" si="14"/>
        <v>70463</v>
      </c>
      <c r="V889" s="24">
        <f>SUMIFS(Expense_Tracker_Table[Amount Spent],Expense_Tracker_Table[Expense Date],"&gt;="&amp;T889,Expense_Tracker_Table[Expense Date],"&lt;="&amp;U889)</f>
        <v>0</v>
      </c>
    </row>
    <row r="890" spans="20:22" x14ac:dyDescent="0.3">
      <c r="T890" s="25">
        <v>70464</v>
      </c>
      <c r="U890" s="25">
        <f t="shared" si="14"/>
        <v>70494</v>
      </c>
      <c r="V890" s="24">
        <f>SUMIFS(Expense_Tracker_Table[Amount Spent],Expense_Tracker_Table[Expense Date],"&gt;="&amp;T890,Expense_Tracker_Table[Expense Date],"&lt;="&amp;U890)</f>
        <v>0</v>
      </c>
    </row>
    <row r="891" spans="20:22" x14ac:dyDescent="0.3">
      <c r="T891" s="25">
        <v>70495</v>
      </c>
      <c r="U891" s="25">
        <f t="shared" si="14"/>
        <v>70525</v>
      </c>
      <c r="V891" s="24">
        <f>SUMIFS(Expense_Tracker_Table[Amount Spent],Expense_Tracker_Table[Expense Date],"&gt;="&amp;T891,Expense_Tracker_Table[Expense Date],"&lt;="&amp;U891)</f>
        <v>0</v>
      </c>
    </row>
    <row r="892" spans="20:22" x14ac:dyDescent="0.3">
      <c r="T892" s="25">
        <v>70526</v>
      </c>
      <c r="U892" s="25">
        <f t="shared" si="14"/>
        <v>70553</v>
      </c>
      <c r="V892" s="24">
        <f>SUMIFS(Expense_Tracker_Table[Amount Spent],Expense_Tracker_Table[Expense Date],"&gt;="&amp;T892,Expense_Tracker_Table[Expense Date],"&lt;="&amp;U892)</f>
        <v>0</v>
      </c>
    </row>
    <row r="893" spans="20:22" x14ac:dyDescent="0.3">
      <c r="T893" s="25">
        <v>70554</v>
      </c>
      <c r="U893" s="25">
        <f t="shared" si="14"/>
        <v>70584</v>
      </c>
      <c r="V893" s="24">
        <f>SUMIFS(Expense_Tracker_Table[Amount Spent],Expense_Tracker_Table[Expense Date],"&gt;="&amp;T893,Expense_Tracker_Table[Expense Date],"&lt;="&amp;U893)</f>
        <v>0</v>
      </c>
    </row>
    <row r="894" spans="20:22" x14ac:dyDescent="0.3">
      <c r="T894" s="25">
        <v>70585</v>
      </c>
      <c r="U894" s="25">
        <f t="shared" si="14"/>
        <v>70614</v>
      </c>
      <c r="V894" s="24">
        <f>SUMIFS(Expense_Tracker_Table[Amount Spent],Expense_Tracker_Table[Expense Date],"&gt;="&amp;T894,Expense_Tracker_Table[Expense Date],"&lt;="&amp;U894)</f>
        <v>0</v>
      </c>
    </row>
    <row r="895" spans="20:22" x14ac:dyDescent="0.3">
      <c r="T895" s="25">
        <v>70615</v>
      </c>
      <c r="U895" s="25">
        <f t="shared" si="14"/>
        <v>70645</v>
      </c>
      <c r="V895" s="24">
        <f>SUMIFS(Expense_Tracker_Table[Amount Spent],Expense_Tracker_Table[Expense Date],"&gt;="&amp;T895,Expense_Tracker_Table[Expense Date],"&lt;="&amp;U895)</f>
        <v>0</v>
      </c>
    </row>
    <row r="896" spans="20:22" x14ac:dyDescent="0.3">
      <c r="T896" s="25">
        <v>70646</v>
      </c>
      <c r="U896" s="25">
        <f t="shared" si="14"/>
        <v>70675</v>
      </c>
      <c r="V896" s="24">
        <f>SUMIFS(Expense_Tracker_Table[Amount Spent],Expense_Tracker_Table[Expense Date],"&gt;="&amp;T896,Expense_Tracker_Table[Expense Date],"&lt;="&amp;U896)</f>
        <v>0</v>
      </c>
    </row>
    <row r="897" spans="20:22" x14ac:dyDescent="0.3">
      <c r="T897" s="25">
        <v>70676</v>
      </c>
      <c r="U897" s="25">
        <f t="shared" si="14"/>
        <v>70706</v>
      </c>
      <c r="V897" s="24">
        <f>SUMIFS(Expense_Tracker_Table[Amount Spent],Expense_Tracker_Table[Expense Date],"&gt;="&amp;T897,Expense_Tracker_Table[Expense Date],"&lt;="&amp;U897)</f>
        <v>0</v>
      </c>
    </row>
    <row r="898" spans="20:22" x14ac:dyDescent="0.3">
      <c r="T898" s="25">
        <v>70707</v>
      </c>
      <c r="U898" s="25">
        <f t="shared" si="14"/>
        <v>70737</v>
      </c>
      <c r="V898" s="24">
        <f>SUMIFS(Expense_Tracker_Table[Amount Spent],Expense_Tracker_Table[Expense Date],"&gt;="&amp;T898,Expense_Tracker_Table[Expense Date],"&lt;="&amp;U898)</f>
        <v>0</v>
      </c>
    </row>
    <row r="899" spans="20:22" x14ac:dyDescent="0.3">
      <c r="T899" s="25">
        <v>70738</v>
      </c>
      <c r="U899" s="25">
        <f t="shared" si="14"/>
        <v>70767</v>
      </c>
      <c r="V899" s="24">
        <f>SUMIFS(Expense_Tracker_Table[Amount Spent],Expense_Tracker_Table[Expense Date],"&gt;="&amp;T899,Expense_Tracker_Table[Expense Date],"&lt;="&amp;U899)</f>
        <v>0</v>
      </c>
    </row>
    <row r="900" spans="20:22" x14ac:dyDescent="0.3">
      <c r="T900" s="25">
        <v>70768</v>
      </c>
      <c r="U900" s="25">
        <f t="shared" si="14"/>
        <v>70798</v>
      </c>
      <c r="V900" s="24">
        <f>SUMIFS(Expense_Tracker_Table[Amount Spent],Expense_Tracker_Table[Expense Date],"&gt;="&amp;T900,Expense_Tracker_Table[Expense Date],"&lt;="&amp;U900)</f>
        <v>0</v>
      </c>
    </row>
    <row r="901" spans="20:22" x14ac:dyDescent="0.3">
      <c r="T901" s="25">
        <v>70799</v>
      </c>
      <c r="U901" s="25">
        <f t="shared" si="14"/>
        <v>70828</v>
      </c>
      <c r="V901" s="24">
        <f>SUMIFS(Expense_Tracker_Table[Amount Spent],Expense_Tracker_Table[Expense Date],"&gt;="&amp;T901,Expense_Tracker_Table[Expense Date],"&lt;="&amp;U901)</f>
        <v>0</v>
      </c>
    </row>
    <row r="902" spans="20:22" x14ac:dyDescent="0.3">
      <c r="T902" s="25">
        <v>70829</v>
      </c>
      <c r="U902" s="25">
        <f t="shared" si="14"/>
        <v>70859</v>
      </c>
      <c r="V902" s="24">
        <f>SUMIFS(Expense_Tracker_Table[Amount Spent],Expense_Tracker_Table[Expense Date],"&gt;="&amp;T902,Expense_Tracker_Table[Expense Date],"&lt;="&amp;U902)</f>
        <v>0</v>
      </c>
    </row>
    <row r="903" spans="20:22" x14ac:dyDescent="0.3">
      <c r="T903" s="25">
        <v>70860</v>
      </c>
      <c r="U903" s="25">
        <f t="shared" si="14"/>
        <v>70890</v>
      </c>
      <c r="V903" s="24">
        <f>SUMIFS(Expense_Tracker_Table[Amount Spent],Expense_Tracker_Table[Expense Date],"&gt;="&amp;T903,Expense_Tracker_Table[Expense Date],"&lt;="&amp;U903)</f>
        <v>0</v>
      </c>
    </row>
    <row r="904" spans="20:22" x14ac:dyDescent="0.3">
      <c r="T904" s="25">
        <v>70891</v>
      </c>
      <c r="U904" s="25">
        <f t="shared" si="14"/>
        <v>70918</v>
      </c>
      <c r="V904" s="24">
        <f>SUMIFS(Expense_Tracker_Table[Amount Spent],Expense_Tracker_Table[Expense Date],"&gt;="&amp;T904,Expense_Tracker_Table[Expense Date],"&lt;="&amp;U904)</f>
        <v>0</v>
      </c>
    </row>
    <row r="905" spans="20:22" x14ac:dyDescent="0.3">
      <c r="T905" s="25">
        <v>70919</v>
      </c>
      <c r="U905" s="25">
        <f t="shared" ref="U905:U968" si="15">EOMONTH(T905,0)</f>
        <v>70949</v>
      </c>
      <c r="V905" s="24">
        <f>SUMIFS(Expense_Tracker_Table[Amount Spent],Expense_Tracker_Table[Expense Date],"&gt;="&amp;T905,Expense_Tracker_Table[Expense Date],"&lt;="&amp;U905)</f>
        <v>0</v>
      </c>
    </row>
    <row r="906" spans="20:22" x14ac:dyDescent="0.3">
      <c r="T906" s="25">
        <v>70950</v>
      </c>
      <c r="U906" s="25">
        <f t="shared" si="15"/>
        <v>70979</v>
      </c>
      <c r="V906" s="24">
        <f>SUMIFS(Expense_Tracker_Table[Amount Spent],Expense_Tracker_Table[Expense Date],"&gt;="&amp;T906,Expense_Tracker_Table[Expense Date],"&lt;="&amp;U906)</f>
        <v>0</v>
      </c>
    </row>
    <row r="907" spans="20:22" x14ac:dyDescent="0.3">
      <c r="T907" s="25">
        <v>70980</v>
      </c>
      <c r="U907" s="25">
        <f t="shared" si="15"/>
        <v>71010</v>
      </c>
      <c r="V907" s="24">
        <f>SUMIFS(Expense_Tracker_Table[Amount Spent],Expense_Tracker_Table[Expense Date],"&gt;="&amp;T907,Expense_Tracker_Table[Expense Date],"&lt;="&amp;U907)</f>
        <v>0</v>
      </c>
    </row>
    <row r="908" spans="20:22" x14ac:dyDescent="0.3">
      <c r="T908" s="25">
        <v>71011</v>
      </c>
      <c r="U908" s="25">
        <f t="shared" si="15"/>
        <v>71040</v>
      </c>
      <c r="V908" s="24">
        <f>SUMIFS(Expense_Tracker_Table[Amount Spent],Expense_Tracker_Table[Expense Date],"&gt;="&amp;T908,Expense_Tracker_Table[Expense Date],"&lt;="&amp;U908)</f>
        <v>0</v>
      </c>
    </row>
    <row r="909" spans="20:22" x14ac:dyDescent="0.3">
      <c r="T909" s="25">
        <v>71041</v>
      </c>
      <c r="U909" s="25">
        <f t="shared" si="15"/>
        <v>71071</v>
      </c>
      <c r="V909" s="24">
        <f>SUMIFS(Expense_Tracker_Table[Amount Spent],Expense_Tracker_Table[Expense Date],"&gt;="&amp;T909,Expense_Tracker_Table[Expense Date],"&lt;="&amp;U909)</f>
        <v>0</v>
      </c>
    </row>
    <row r="910" spans="20:22" x14ac:dyDescent="0.3">
      <c r="T910" s="25">
        <v>71072</v>
      </c>
      <c r="U910" s="25">
        <f t="shared" si="15"/>
        <v>71102</v>
      </c>
      <c r="V910" s="24">
        <f>SUMIFS(Expense_Tracker_Table[Amount Spent],Expense_Tracker_Table[Expense Date],"&gt;="&amp;T910,Expense_Tracker_Table[Expense Date],"&lt;="&amp;U910)</f>
        <v>0</v>
      </c>
    </row>
    <row r="911" spans="20:22" x14ac:dyDescent="0.3">
      <c r="T911" s="25">
        <v>71103</v>
      </c>
      <c r="U911" s="25">
        <f t="shared" si="15"/>
        <v>71132</v>
      </c>
      <c r="V911" s="24">
        <f>SUMIFS(Expense_Tracker_Table[Amount Spent],Expense_Tracker_Table[Expense Date],"&gt;="&amp;T911,Expense_Tracker_Table[Expense Date],"&lt;="&amp;U911)</f>
        <v>0</v>
      </c>
    </row>
    <row r="912" spans="20:22" x14ac:dyDescent="0.3">
      <c r="T912" s="25">
        <v>71133</v>
      </c>
      <c r="U912" s="25">
        <f t="shared" si="15"/>
        <v>71163</v>
      </c>
      <c r="V912" s="24">
        <f>SUMIFS(Expense_Tracker_Table[Amount Spent],Expense_Tracker_Table[Expense Date],"&gt;="&amp;T912,Expense_Tracker_Table[Expense Date],"&lt;="&amp;U912)</f>
        <v>0</v>
      </c>
    </row>
    <row r="913" spans="20:22" x14ac:dyDescent="0.3">
      <c r="T913" s="25">
        <v>71164</v>
      </c>
      <c r="U913" s="25">
        <f t="shared" si="15"/>
        <v>71193</v>
      </c>
      <c r="V913" s="24">
        <f>SUMIFS(Expense_Tracker_Table[Amount Spent],Expense_Tracker_Table[Expense Date],"&gt;="&amp;T913,Expense_Tracker_Table[Expense Date],"&lt;="&amp;U913)</f>
        <v>0</v>
      </c>
    </row>
    <row r="914" spans="20:22" x14ac:dyDescent="0.3">
      <c r="T914" s="25">
        <v>71194</v>
      </c>
      <c r="U914" s="25">
        <f t="shared" si="15"/>
        <v>71224</v>
      </c>
      <c r="V914" s="24">
        <f>SUMIFS(Expense_Tracker_Table[Amount Spent],Expense_Tracker_Table[Expense Date],"&gt;="&amp;T914,Expense_Tracker_Table[Expense Date],"&lt;="&amp;U914)</f>
        <v>0</v>
      </c>
    </row>
    <row r="915" spans="20:22" x14ac:dyDescent="0.3">
      <c r="T915" s="25">
        <v>71225</v>
      </c>
      <c r="U915" s="25">
        <f t="shared" si="15"/>
        <v>71255</v>
      </c>
      <c r="V915" s="24">
        <f>SUMIFS(Expense_Tracker_Table[Amount Spent],Expense_Tracker_Table[Expense Date],"&gt;="&amp;T915,Expense_Tracker_Table[Expense Date],"&lt;="&amp;U915)</f>
        <v>0</v>
      </c>
    </row>
    <row r="916" spans="20:22" x14ac:dyDescent="0.3">
      <c r="T916" s="25">
        <v>71256</v>
      </c>
      <c r="U916" s="25">
        <f t="shared" si="15"/>
        <v>71283</v>
      </c>
      <c r="V916" s="24">
        <f>SUMIFS(Expense_Tracker_Table[Amount Spent],Expense_Tracker_Table[Expense Date],"&gt;="&amp;T916,Expense_Tracker_Table[Expense Date],"&lt;="&amp;U916)</f>
        <v>0</v>
      </c>
    </row>
    <row r="917" spans="20:22" x14ac:dyDescent="0.3">
      <c r="T917" s="25">
        <v>71284</v>
      </c>
      <c r="U917" s="25">
        <f t="shared" si="15"/>
        <v>71314</v>
      </c>
      <c r="V917" s="24">
        <f>SUMIFS(Expense_Tracker_Table[Amount Spent],Expense_Tracker_Table[Expense Date],"&gt;="&amp;T917,Expense_Tracker_Table[Expense Date],"&lt;="&amp;U917)</f>
        <v>0</v>
      </c>
    </row>
    <row r="918" spans="20:22" x14ac:dyDescent="0.3">
      <c r="T918" s="25">
        <v>71315</v>
      </c>
      <c r="U918" s="25">
        <f t="shared" si="15"/>
        <v>71344</v>
      </c>
      <c r="V918" s="24">
        <f>SUMIFS(Expense_Tracker_Table[Amount Spent],Expense_Tracker_Table[Expense Date],"&gt;="&amp;T918,Expense_Tracker_Table[Expense Date],"&lt;="&amp;U918)</f>
        <v>0</v>
      </c>
    </row>
    <row r="919" spans="20:22" x14ac:dyDescent="0.3">
      <c r="T919" s="25">
        <v>71345</v>
      </c>
      <c r="U919" s="25">
        <f t="shared" si="15"/>
        <v>71375</v>
      </c>
      <c r="V919" s="24">
        <f>SUMIFS(Expense_Tracker_Table[Amount Spent],Expense_Tracker_Table[Expense Date],"&gt;="&amp;T919,Expense_Tracker_Table[Expense Date],"&lt;="&amp;U919)</f>
        <v>0</v>
      </c>
    </row>
    <row r="920" spans="20:22" x14ac:dyDescent="0.3">
      <c r="T920" s="25">
        <v>71376</v>
      </c>
      <c r="U920" s="25">
        <f t="shared" si="15"/>
        <v>71405</v>
      </c>
      <c r="V920" s="24">
        <f>SUMIFS(Expense_Tracker_Table[Amount Spent],Expense_Tracker_Table[Expense Date],"&gt;="&amp;T920,Expense_Tracker_Table[Expense Date],"&lt;="&amp;U920)</f>
        <v>0</v>
      </c>
    </row>
    <row r="921" spans="20:22" x14ac:dyDescent="0.3">
      <c r="T921" s="25">
        <v>71406</v>
      </c>
      <c r="U921" s="25">
        <f t="shared" si="15"/>
        <v>71436</v>
      </c>
      <c r="V921" s="24">
        <f>SUMIFS(Expense_Tracker_Table[Amount Spent],Expense_Tracker_Table[Expense Date],"&gt;="&amp;T921,Expense_Tracker_Table[Expense Date],"&lt;="&amp;U921)</f>
        <v>0</v>
      </c>
    </row>
    <row r="922" spans="20:22" x14ac:dyDescent="0.3">
      <c r="T922" s="25">
        <v>71437</v>
      </c>
      <c r="U922" s="25">
        <f t="shared" si="15"/>
        <v>71467</v>
      </c>
      <c r="V922" s="24">
        <f>SUMIFS(Expense_Tracker_Table[Amount Spent],Expense_Tracker_Table[Expense Date],"&gt;="&amp;T922,Expense_Tracker_Table[Expense Date],"&lt;="&amp;U922)</f>
        <v>0</v>
      </c>
    </row>
    <row r="923" spans="20:22" x14ac:dyDescent="0.3">
      <c r="T923" s="25">
        <v>71468</v>
      </c>
      <c r="U923" s="25">
        <f t="shared" si="15"/>
        <v>71497</v>
      </c>
      <c r="V923" s="24">
        <f>SUMIFS(Expense_Tracker_Table[Amount Spent],Expense_Tracker_Table[Expense Date],"&gt;="&amp;T923,Expense_Tracker_Table[Expense Date],"&lt;="&amp;U923)</f>
        <v>0</v>
      </c>
    </row>
    <row r="924" spans="20:22" x14ac:dyDescent="0.3">
      <c r="T924" s="25">
        <v>71498</v>
      </c>
      <c r="U924" s="25">
        <f t="shared" si="15"/>
        <v>71528</v>
      </c>
      <c r="V924" s="24">
        <f>SUMIFS(Expense_Tracker_Table[Amount Spent],Expense_Tracker_Table[Expense Date],"&gt;="&amp;T924,Expense_Tracker_Table[Expense Date],"&lt;="&amp;U924)</f>
        <v>0</v>
      </c>
    </row>
    <row r="925" spans="20:22" x14ac:dyDescent="0.3">
      <c r="T925" s="25">
        <v>71529</v>
      </c>
      <c r="U925" s="25">
        <f t="shared" si="15"/>
        <v>71558</v>
      </c>
      <c r="V925" s="24">
        <f>SUMIFS(Expense_Tracker_Table[Amount Spent],Expense_Tracker_Table[Expense Date],"&gt;="&amp;T925,Expense_Tracker_Table[Expense Date],"&lt;="&amp;U925)</f>
        <v>0</v>
      </c>
    </row>
    <row r="926" spans="20:22" x14ac:dyDescent="0.3">
      <c r="T926" s="25">
        <v>71559</v>
      </c>
      <c r="U926" s="25">
        <f t="shared" si="15"/>
        <v>71589</v>
      </c>
      <c r="V926" s="24">
        <f>SUMIFS(Expense_Tracker_Table[Amount Spent],Expense_Tracker_Table[Expense Date],"&gt;="&amp;T926,Expense_Tracker_Table[Expense Date],"&lt;="&amp;U926)</f>
        <v>0</v>
      </c>
    </row>
    <row r="927" spans="20:22" x14ac:dyDescent="0.3">
      <c r="T927" s="25">
        <v>71590</v>
      </c>
      <c r="U927" s="25">
        <f t="shared" si="15"/>
        <v>71620</v>
      </c>
      <c r="V927" s="24">
        <f>SUMIFS(Expense_Tracker_Table[Amount Spent],Expense_Tracker_Table[Expense Date],"&gt;="&amp;T927,Expense_Tracker_Table[Expense Date],"&lt;="&amp;U927)</f>
        <v>0</v>
      </c>
    </row>
    <row r="928" spans="20:22" x14ac:dyDescent="0.3">
      <c r="T928" s="25">
        <v>71621</v>
      </c>
      <c r="U928" s="25">
        <f t="shared" si="15"/>
        <v>71649</v>
      </c>
      <c r="V928" s="24">
        <f>SUMIFS(Expense_Tracker_Table[Amount Spent],Expense_Tracker_Table[Expense Date],"&gt;="&amp;T928,Expense_Tracker_Table[Expense Date],"&lt;="&amp;U928)</f>
        <v>0</v>
      </c>
    </row>
    <row r="929" spans="20:22" x14ac:dyDescent="0.3">
      <c r="T929" s="25">
        <v>71650</v>
      </c>
      <c r="U929" s="25">
        <f t="shared" si="15"/>
        <v>71680</v>
      </c>
      <c r="V929" s="24">
        <f>SUMIFS(Expense_Tracker_Table[Amount Spent],Expense_Tracker_Table[Expense Date],"&gt;="&amp;T929,Expense_Tracker_Table[Expense Date],"&lt;="&amp;U929)</f>
        <v>0</v>
      </c>
    </row>
    <row r="930" spans="20:22" x14ac:dyDescent="0.3">
      <c r="T930" s="25">
        <v>71681</v>
      </c>
      <c r="U930" s="25">
        <f t="shared" si="15"/>
        <v>71710</v>
      </c>
      <c r="V930" s="24">
        <f>SUMIFS(Expense_Tracker_Table[Amount Spent],Expense_Tracker_Table[Expense Date],"&gt;="&amp;T930,Expense_Tracker_Table[Expense Date],"&lt;="&amp;U930)</f>
        <v>0</v>
      </c>
    </row>
    <row r="931" spans="20:22" x14ac:dyDescent="0.3">
      <c r="T931" s="25">
        <v>71711</v>
      </c>
      <c r="U931" s="25">
        <f t="shared" si="15"/>
        <v>71741</v>
      </c>
      <c r="V931" s="24">
        <f>SUMIFS(Expense_Tracker_Table[Amount Spent],Expense_Tracker_Table[Expense Date],"&gt;="&amp;T931,Expense_Tracker_Table[Expense Date],"&lt;="&amp;U931)</f>
        <v>0</v>
      </c>
    </row>
    <row r="932" spans="20:22" x14ac:dyDescent="0.3">
      <c r="T932" s="25">
        <v>71742</v>
      </c>
      <c r="U932" s="25">
        <f t="shared" si="15"/>
        <v>71771</v>
      </c>
      <c r="V932" s="24">
        <f>SUMIFS(Expense_Tracker_Table[Amount Spent],Expense_Tracker_Table[Expense Date],"&gt;="&amp;T932,Expense_Tracker_Table[Expense Date],"&lt;="&amp;U932)</f>
        <v>0</v>
      </c>
    </row>
    <row r="933" spans="20:22" x14ac:dyDescent="0.3">
      <c r="T933" s="25">
        <v>71772</v>
      </c>
      <c r="U933" s="25">
        <f t="shared" si="15"/>
        <v>71802</v>
      </c>
      <c r="V933" s="24">
        <f>SUMIFS(Expense_Tracker_Table[Amount Spent],Expense_Tracker_Table[Expense Date],"&gt;="&amp;T933,Expense_Tracker_Table[Expense Date],"&lt;="&amp;U933)</f>
        <v>0</v>
      </c>
    </row>
    <row r="934" spans="20:22" x14ac:dyDescent="0.3">
      <c r="T934" s="25">
        <v>71803</v>
      </c>
      <c r="U934" s="25">
        <f t="shared" si="15"/>
        <v>71833</v>
      </c>
      <c r="V934" s="24">
        <f>SUMIFS(Expense_Tracker_Table[Amount Spent],Expense_Tracker_Table[Expense Date],"&gt;="&amp;T934,Expense_Tracker_Table[Expense Date],"&lt;="&amp;U934)</f>
        <v>0</v>
      </c>
    </row>
    <row r="935" spans="20:22" x14ac:dyDescent="0.3">
      <c r="T935" s="25">
        <v>71834</v>
      </c>
      <c r="U935" s="25">
        <f t="shared" si="15"/>
        <v>71863</v>
      </c>
      <c r="V935" s="24">
        <f>SUMIFS(Expense_Tracker_Table[Amount Spent],Expense_Tracker_Table[Expense Date],"&gt;="&amp;T935,Expense_Tracker_Table[Expense Date],"&lt;="&amp;U935)</f>
        <v>0</v>
      </c>
    </row>
    <row r="936" spans="20:22" x14ac:dyDescent="0.3">
      <c r="T936" s="25">
        <v>71864</v>
      </c>
      <c r="U936" s="25">
        <f t="shared" si="15"/>
        <v>71894</v>
      </c>
      <c r="V936" s="24">
        <f>SUMIFS(Expense_Tracker_Table[Amount Spent],Expense_Tracker_Table[Expense Date],"&gt;="&amp;T936,Expense_Tracker_Table[Expense Date],"&lt;="&amp;U936)</f>
        <v>0</v>
      </c>
    </row>
    <row r="937" spans="20:22" x14ac:dyDescent="0.3">
      <c r="T937" s="25">
        <v>71895</v>
      </c>
      <c r="U937" s="25">
        <f t="shared" si="15"/>
        <v>71924</v>
      </c>
      <c r="V937" s="24">
        <f>SUMIFS(Expense_Tracker_Table[Amount Spent],Expense_Tracker_Table[Expense Date],"&gt;="&amp;T937,Expense_Tracker_Table[Expense Date],"&lt;="&amp;U937)</f>
        <v>0</v>
      </c>
    </row>
    <row r="938" spans="20:22" x14ac:dyDescent="0.3">
      <c r="T938" s="25">
        <v>71925</v>
      </c>
      <c r="U938" s="25">
        <f t="shared" si="15"/>
        <v>71955</v>
      </c>
      <c r="V938" s="24">
        <f>SUMIFS(Expense_Tracker_Table[Amount Spent],Expense_Tracker_Table[Expense Date],"&gt;="&amp;T938,Expense_Tracker_Table[Expense Date],"&lt;="&amp;U938)</f>
        <v>0</v>
      </c>
    </row>
    <row r="939" spans="20:22" x14ac:dyDescent="0.3">
      <c r="T939" s="25">
        <v>71956</v>
      </c>
      <c r="U939" s="25">
        <f t="shared" si="15"/>
        <v>71986</v>
      </c>
      <c r="V939" s="24">
        <f>SUMIFS(Expense_Tracker_Table[Amount Spent],Expense_Tracker_Table[Expense Date],"&gt;="&amp;T939,Expense_Tracker_Table[Expense Date],"&lt;="&amp;U939)</f>
        <v>0</v>
      </c>
    </row>
    <row r="940" spans="20:22" x14ac:dyDescent="0.3">
      <c r="T940" s="25">
        <v>71987</v>
      </c>
      <c r="U940" s="25">
        <f t="shared" si="15"/>
        <v>72014</v>
      </c>
      <c r="V940" s="24">
        <f>SUMIFS(Expense_Tracker_Table[Amount Spent],Expense_Tracker_Table[Expense Date],"&gt;="&amp;T940,Expense_Tracker_Table[Expense Date],"&lt;="&amp;U940)</f>
        <v>0</v>
      </c>
    </row>
    <row r="941" spans="20:22" x14ac:dyDescent="0.3">
      <c r="T941" s="25">
        <v>72015</v>
      </c>
      <c r="U941" s="25">
        <f t="shared" si="15"/>
        <v>72045</v>
      </c>
      <c r="V941" s="24">
        <f>SUMIFS(Expense_Tracker_Table[Amount Spent],Expense_Tracker_Table[Expense Date],"&gt;="&amp;T941,Expense_Tracker_Table[Expense Date],"&lt;="&amp;U941)</f>
        <v>0</v>
      </c>
    </row>
    <row r="942" spans="20:22" x14ac:dyDescent="0.3">
      <c r="T942" s="25">
        <v>72046</v>
      </c>
      <c r="U942" s="25">
        <f t="shared" si="15"/>
        <v>72075</v>
      </c>
      <c r="V942" s="24">
        <f>SUMIFS(Expense_Tracker_Table[Amount Spent],Expense_Tracker_Table[Expense Date],"&gt;="&amp;T942,Expense_Tracker_Table[Expense Date],"&lt;="&amp;U942)</f>
        <v>0</v>
      </c>
    </row>
    <row r="943" spans="20:22" x14ac:dyDescent="0.3">
      <c r="T943" s="25">
        <v>72076</v>
      </c>
      <c r="U943" s="25">
        <f t="shared" si="15"/>
        <v>72106</v>
      </c>
      <c r="V943" s="24">
        <f>SUMIFS(Expense_Tracker_Table[Amount Spent],Expense_Tracker_Table[Expense Date],"&gt;="&amp;T943,Expense_Tracker_Table[Expense Date],"&lt;="&amp;U943)</f>
        <v>0</v>
      </c>
    </row>
    <row r="944" spans="20:22" x14ac:dyDescent="0.3">
      <c r="T944" s="25">
        <v>72107</v>
      </c>
      <c r="U944" s="25">
        <f t="shared" si="15"/>
        <v>72136</v>
      </c>
      <c r="V944" s="24">
        <f>SUMIFS(Expense_Tracker_Table[Amount Spent],Expense_Tracker_Table[Expense Date],"&gt;="&amp;T944,Expense_Tracker_Table[Expense Date],"&lt;="&amp;U944)</f>
        <v>0</v>
      </c>
    </row>
    <row r="945" spans="20:22" x14ac:dyDescent="0.3">
      <c r="T945" s="25">
        <v>72137</v>
      </c>
      <c r="U945" s="25">
        <f t="shared" si="15"/>
        <v>72167</v>
      </c>
      <c r="V945" s="24">
        <f>SUMIFS(Expense_Tracker_Table[Amount Spent],Expense_Tracker_Table[Expense Date],"&gt;="&amp;T945,Expense_Tracker_Table[Expense Date],"&lt;="&amp;U945)</f>
        <v>0</v>
      </c>
    </row>
    <row r="946" spans="20:22" x14ac:dyDescent="0.3">
      <c r="T946" s="25">
        <v>72168</v>
      </c>
      <c r="U946" s="25">
        <f t="shared" si="15"/>
        <v>72198</v>
      </c>
      <c r="V946" s="24">
        <f>SUMIFS(Expense_Tracker_Table[Amount Spent],Expense_Tracker_Table[Expense Date],"&gt;="&amp;T946,Expense_Tracker_Table[Expense Date],"&lt;="&amp;U946)</f>
        <v>0</v>
      </c>
    </row>
    <row r="947" spans="20:22" x14ac:dyDescent="0.3">
      <c r="T947" s="25">
        <v>72199</v>
      </c>
      <c r="U947" s="25">
        <f t="shared" si="15"/>
        <v>72228</v>
      </c>
      <c r="V947" s="24">
        <f>SUMIFS(Expense_Tracker_Table[Amount Spent],Expense_Tracker_Table[Expense Date],"&gt;="&amp;T947,Expense_Tracker_Table[Expense Date],"&lt;="&amp;U947)</f>
        <v>0</v>
      </c>
    </row>
    <row r="948" spans="20:22" x14ac:dyDescent="0.3">
      <c r="T948" s="25">
        <v>72229</v>
      </c>
      <c r="U948" s="25">
        <f t="shared" si="15"/>
        <v>72259</v>
      </c>
      <c r="V948" s="24">
        <f>SUMIFS(Expense_Tracker_Table[Amount Spent],Expense_Tracker_Table[Expense Date],"&gt;="&amp;T948,Expense_Tracker_Table[Expense Date],"&lt;="&amp;U948)</f>
        <v>0</v>
      </c>
    </row>
    <row r="949" spans="20:22" x14ac:dyDescent="0.3">
      <c r="T949" s="25">
        <v>72260</v>
      </c>
      <c r="U949" s="25">
        <f t="shared" si="15"/>
        <v>72289</v>
      </c>
      <c r="V949" s="24">
        <f>SUMIFS(Expense_Tracker_Table[Amount Spent],Expense_Tracker_Table[Expense Date],"&gt;="&amp;T949,Expense_Tracker_Table[Expense Date],"&lt;="&amp;U949)</f>
        <v>0</v>
      </c>
    </row>
    <row r="950" spans="20:22" x14ac:dyDescent="0.3">
      <c r="T950" s="25">
        <v>72290</v>
      </c>
      <c r="U950" s="25">
        <f t="shared" si="15"/>
        <v>72320</v>
      </c>
      <c r="V950" s="24">
        <f>SUMIFS(Expense_Tracker_Table[Amount Spent],Expense_Tracker_Table[Expense Date],"&gt;="&amp;T950,Expense_Tracker_Table[Expense Date],"&lt;="&amp;U950)</f>
        <v>0</v>
      </c>
    </row>
    <row r="951" spans="20:22" x14ac:dyDescent="0.3">
      <c r="T951" s="25">
        <v>72321</v>
      </c>
      <c r="U951" s="25">
        <f t="shared" si="15"/>
        <v>72351</v>
      </c>
      <c r="V951" s="24">
        <f>SUMIFS(Expense_Tracker_Table[Amount Spent],Expense_Tracker_Table[Expense Date],"&gt;="&amp;T951,Expense_Tracker_Table[Expense Date],"&lt;="&amp;U951)</f>
        <v>0</v>
      </c>
    </row>
    <row r="952" spans="20:22" x14ac:dyDescent="0.3">
      <c r="T952" s="25">
        <v>72352</v>
      </c>
      <c r="U952" s="25">
        <f t="shared" si="15"/>
        <v>72379</v>
      </c>
      <c r="V952" s="24">
        <f>SUMIFS(Expense_Tracker_Table[Amount Spent],Expense_Tracker_Table[Expense Date],"&gt;="&amp;T952,Expense_Tracker_Table[Expense Date],"&lt;="&amp;U952)</f>
        <v>0</v>
      </c>
    </row>
    <row r="953" spans="20:22" x14ac:dyDescent="0.3">
      <c r="T953" s="25">
        <v>72380</v>
      </c>
      <c r="U953" s="25">
        <f t="shared" si="15"/>
        <v>72410</v>
      </c>
      <c r="V953" s="24">
        <f>SUMIFS(Expense_Tracker_Table[Amount Spent],Expense_Tracker_Table[Expense Date],"&gt;="&amp;T953,Expense_Tracker_Table[Expense Date],"&lt;="&amp;U953)</f>
        <v>0</v>
      </c>
    </row>
    <row r="954" spans="20:22" x14ac:dyDescent="0.3">
      <c r="T954" s="25">
        <v>72411</v>
      </c>
      <c r="U954" s="25">
        <f t="shared" si="15"/>
        <v>72440</v>
      </c>
      <c r="V954" s="24">
        <f>SUMIFS(Expense_Tracker_Table[Amount Spent],Expense_Tracker_Table[Expense Date],"&gt;="&amp;T954,Expense_Tracker_Table[Expense Date],"&lt;="&amp;U954)</f>
        <v>0</v>
      </c>
    </row>
    <row r="955" spans="20:22" x14ac:dyDescent="0.3">
      <c r="T955" s="25">
        <v>72441</v>
      </c>
      <c r="U955" s="25">
        <f t="shared" si="15"/>
        <v>72471</v>
      </c>
      <c r="V955" s="24">
        <f>SUMIFS(Expense_Tracker_Table[Amount Spent],Expense_Tracker_Table[Expense Date],"&gt;="&amp;T955,Expense_Tracker_Table[Expense Date],"&lt;="&amp;U955)</f>
        <v>0</v>
      </c>
    </row>
    <row r="956" spans="20:22" x14ac:dyDescent="0.3">
      <c r="T956" s="25">
        <v>72472</v>
      </c>
      <c r="U956" s="25">
        <f t="shared" si="15"/>
        <v>72501</v>
      </c>
      <c r="V956" s="24">
        <f>SUMIFS(Expense_Tracker_Table[Amount Spent],Expense_Tracker_Table[Expense Date],"&gt;="&amp;T956,Expense_Tracker_Table[Expense Date],"&lt;="&amp;U956)</f>
        <v>0</v>
      </c>
    </row>
    <row r="957" spans="20:22" x14ac:dyDescent="0.3">
      <c r="T957" s="25">
        <v>72502</v>
      </c>
      <c r="U957" s="25">
        <f t="shared" si="15"/>
        <v>72532</v>
      </c>
      <c r="V957" s="24">
        <f>SUMIFS(Expense_Tracker_Table[Amount Spent],Expense_Tracker_Table[Expense Date],"&gt;="&amp;T957,Expense_Tracker_Table[Expense Date],"&lt;="&amp;U957)</f>
        <v>0</v>
      </c>
    </row>
    <row r="958" spans="20:22" x14ac:dyDescent="0.3">
      <c r="T958" s="25">
        <v>72533</v>
      </c>
      <c r="U958" s="25">
        <f t="shared" si="15"/>
        <v>72563</v>
      </c>
      <c r="V958" s="24">
        <f>SUMIFS(Expense_Tracker_Table[Amount Spent],Expense_Tracker_Table[Expense Date],"&gt;="&amp;T958,Expense_Tracker_Table[Expense Date],"&lt;="&amp;U958)</f>
        <v>0</v>
      </c>
    </row>
    <row r="959" spans="20:22" x14ac:dyDescent="0.3">
      <c r="T959" s="25">
        <v>72564</v>
      </c>
      <c r="U959" s="25">
        <f t="shared" si="15"/>
        <v>72593</v>
      </c>
      <c r="V959" s="24">
        <f>SUMIFS(Expense_Tracker_Table[Amount Spent],Expense_Tracker_Table[Expense Date],"&gt;="&amp;T959,Expense_Tracker_Table[Expense Date],"&lt;="&amp;U959)</f>
        <v>0</v>
      </c>
    </row>
    <row r="960" spans="20:22" x14ac:dyDescent="0.3">
      <c r="T960" s="25">
        <v>72594</v>
      </c>
      <c r="U960" s="25">
        <f t="shared" si="15"/>
        <v>72624</v>
      </c>
      <c r="V960" s="24">
        <f>SUMIFS(Expense_Tracker_Table[Amount Spent],Expense_Tracker_Table[Expense Date],"&gt;="&amp;T960,Expense_Tracker_Table[Expense Date],"&lt;="&amp;U960)</f>
        <v>0</v>
      </c>
    </row>
    <row r="961" spans="20:22" x14ac:dyDescent="0.3">
      <c r="T961" s="25">
        <v>72625</v>
      </c>
      <c r="U961" s="25">
        <f t="shared" si="15"/>
        <v>72654</v>
      </c>
      <c r="V961" s="24">
        <f>SUMIFS(Expense_Tracker_Table[Amount Spent],Expense_Tracker_Table[Expense Date],"&gt;="&amp;T961,Expense_Tracker_Table[Expense Date],"&lt;="&amp;U961)</f>
        <v>0</v>
      </c>
    </row>
    <row r="962" spans="20:22" x14ac:dyDescent="0.3">
      <c r="T962" s="25">
        <v>72655</v>
      </c>
      <c r="U962" s="25">
        <f t="shared" si="15"/>
        <v>72685</v>
      </c>
      <c r="V962" s="24">
        <f>SUMIFS(Expense_Tracker_Table[Amount Spent],Expense_Tracker_Table[Expense Date],"&gt;="&amp;T962,Expense_Tracker_Table[Expense Date],"&lt;="&amp;U962)</f>
        <v>0</v>
      </c>
    </row>
    <row r="963" spans="20:22" x14ac:dyDescent="0.3">
      <c r="T963" s="25">
        <v>72686</v>
      </c>
      <c r="U963" s="25">
        <f t="shared" si="15"/>
        <v>72716</v>
      </c>
      <c r="V963" s="24">
        <f>SUMIFS(Expense_Tracker_Table[Amount Spent],Expense_Tracker_Table[Expense Date],"&gt;="&amp;T963,Expense_Tracker_Table[Expense Date],"&lt;="&amp;U963)</f>
        <v>0</v>
      </c>
    </row>
    <row r="964" spans="20:22" x14ac:dyDescent="0.3">
      <c r="T964" s="25">
        <v>72717</v>
      </c>
      <c r="U964" s="25">
        <f t="shared" si="15"/>
        <v>72744</v>
      </c>
      <c r="V964" s="24">
        <f>SUMIFS(Expense_Tracker_Table[Amount Spent],Expense_Tracker_Table[Expense Date],"&gt;="&amp;T964,Expense_Tracker_Table[Expense Date],"&lt;="&amp;U964)</f>
        <v>0</v>
      </c>
    </row>
    <row r="965" spans="20:22" x14ac:dyDescent="0.3">
      <c r="T965" s="25">
        <v>72745</v>
      </c>
      <c r="U965" s="25">
        <f t="shared" si="15"/>
        <v>72775</v>
      </c>
      <c r="V965" s="24">
        <f>SUMIFS(Expense_Tracker_Table[Amount Spent],Expense_Tracker_Table[Expense Date],"&gt;="&amp;T965,Expense_Tracker_Table[Expense Date],"&lt;="&amp;U965)</f>
        <v>0</v>
      </c>
    </row>
    <row r="966" spans="20:22" x14ac:dyDescent="0.3">
      <c r="T966" s="25">
        <v>72776</v>
      </c>
      <c r="U966" s="25">
        <f t="shared" si="15"/>
        <v>72805</v>
      </c>
      <c r="V966" s="24">
        <f>SUMIFS(Expense_Tracker_Table[Amount Spent],Expense_Tracker_Table[Expense Date],"&gt;="&amp;T966,Expense_Tracker_Table[Expense Date],"&lt;="&amp;U966)</f>
        <v>0</v>
      </c>
    </row>
    <row r="967" spans="20:22" x14ac:dyDescent="0.3">
      <c r="T967" s="25">
        <v>72806</v>
      </c>
      <c r="U967" s="25">
        <f t="shared" si="15"/>
        <v>72836</v>
      </c>
      <c r="V967" s="24">
        <f>SUMIFS(Expense_Tracker_Table[Amount Spent],Expense_Tracker_Table[Expense Date],"&gt;="&amp;T967,Expense_Tracker_Table[Expense Date],"&lt;="&amp;U967)</f>
        <v>0</v>
      </c>
    </row>
    <row r="968" spans="20:22" x14ac:dyDescent="0.3">
      <c r="T968" s="25">
        <v>72837</v>
      </c>
      <c r="U968" s="25">
        <f t="shared" si="15"/>
        <v>72866</v>
      </c>
      <c r="V968" s="24">
        <f>SUMIFS(Expense_Tracker_Table[Amount Spent],Expense_Tracker_Table[Expense Date],"&gt;="&amp;T968,Expense_Tracker_Table[Expense Date],"&lt;="&amp;U968)</f>
        <v>0</v>
      </c>
    </row>
    <row r="969" spans="20:22" x14ac:dyDescent="0.3">
      <c r="T969" s="25">
        <v>72867</v>
      </c>
      <c r="U969" s="25">
        <f t="shared" ref="U969:U974" si="16">EOMONTH(T969,0)</f>
        <v>72897</v>
      </c>
      <c r="V969" s="24">
        <f>SUMIFS(Expense_Tracker_Table[Amount Spent],Expense_Tracker_Table[Expense Date],"&gt;="&amp;T969,Expense_Tracker_Table[Expense Date],"&lt;="&amp;U969)</f>
        <v>0</v>
      </c>
    </row>
    <row r="970" spans="20:22" x14ac:dyDescent="0.3">
      <c r="T970" s="25">
        <v>72898</v>
      </c>
      <c r="U970" s="25">
        <f t="shared" si="16"/>
        <v>72928</v>
      </c>
      <c r="V970" s="24">
        <f>SUMIFS(Expense_Tracker_Table[Amount Spent],Expense_Tracker_Table[Expense Date],"&gt;="&amp;T970,Expense_Tracker_Table[Expense Date],"&lt;="&amp;U970)</f>
        <v>0</v>
      </c>
    </row>
    <row r="971" spans="20:22" x14ac:dyDescent="0.3">
      <c r="T971" s="25">
        <v>72929</v>
      </c>
      <c r="U971" s="25">
        <f t="shared" si="16"/>
        <v>72958</v>
      </c>
      <c r="V971" s="24">
        <f>SUMIFS(Expense_Tracker_Table[Amount Spent],Expense_Tracker_Table[Expense Date],"&gt;="&amp;T971,Expense_Tracker_Table[Expense Date],"&lt;="&amp;U971)</f>
        <v>0</v>
      </c>
    </row>
    <row r="972" spans="20:22" x14ac:dyDescent="0.3">
      <c r="T972" s="25">
        <v>72959</v>
      </c>
      <c r="U972" s="25">
        <f t="shared" si="16"/>
        <v>72989</v>
      </c>
      <c r="V972" s="24">
        <f>SUMIFS(Expense_Tracker_Table[Amount Spent],Expense_Tracker_Table[Expense Date],"&gt;="&amp;T972,Expense_Tracker_Table[Expense Date],"&lt;="&amp;U972)</f>
        <v>0</v>
      </c>
    </row>
    <row r="973" spans="20:22" x14ac:dyDescent="0.3">
      <c r="T973" s="25">
        <v>72990</v>
      </c>
      <c r="U973" s="25">
        <f t="shared" si="16"/>
        <v>73019</v>
      </c>
      <c r="V973" s="24">
        <f>SUMIFS(Expense_Tracker_Table[Amount Spent],Expense_Tracker_Table[Expense Date],"&gt;="&amp;T973,Expense_Tracker_Table[Expense Date],"&lt;="&amp;U973)</f>
        <v>0</v>
      </c>
    </row>
    <row r="974" spans="20:22" x14ac:dyDescent="0.3">
      <c r="T974" s="27">
        <v>73020</v>
      </c>
      <c r="U974" s="27">
        <f t="shared" si="16"/>
        <v>73050</v>
      </c>
      <c r="V974" s="24">
        <f>SUMIFS(Expense_Tracker_Table[Amount Spent],Expense_Tracker_Table[Expense Date],"&gt;="&amp;T974,Expense_Tracker_Table[Expense Date],"&lt;="&amp;U974)</f>
        <v>0</v>
      </c>
    </row>
  </sheetData>
  <mergeCells count="1">
    <mergeCell ref="B1:F1"/>
  </mergeCells>
  <dataValidations xWindow="1037" yWindow="745" count="3">
    <dataValidation type="decimal" operator="greaterThan" allowBlank="1" showInputMessage="1" showErrorMessage="1" errorTitle="Invalid Entry" promptTitle="Valid Entry" prompt="The amount must be greater than $0 to be valid." sqref="D3:D1048576" xr:uid="{14E0EFDB-4405-4CFC-B982-B90C1B8346CE}">
      <formula1>0</formula1>
    </dataValidation>
    <dataValidation type="date" allowBlank="1" showInputMessage="1" showErrorMessage="1" errorTitle="Invalid Entry" error="You did not enter a date or you imputed a date before 1/1/2010." promptTitle="Valid Entry" prompt="You must imput a date here." sqref="E3:E1048576" xr:uid="{E41742BE-E6E4-4809-9C1C-0BFF081C311C}">
      <formula1>40179</formula1>
      <formula2>2958101</formula2>
    </dataValidation>
    <dataValidation type="list" allowBlank="1" showInputMessage="1" showErrorMessage="1" errorTitle="Invalid Entry" error="You tried to enter something other than Matt or Emma." promptTitle="Valid Entry" prompt="Matt and Emma are the only valid entries." sqref="B3:B1048576" xr:uid="{A298B21A-D614-4E83-8125-BB893CC77E6D}">
      <formula1>"Matt,Emma"</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xWindow="1037" yWindow="745" count="2">
        <x14:dataValidation type="list" allowBlank="1" showInputMessage="1" showErrorMessage="1" errorTitle="Invalid Entry" error="You tried to enter values other than Mortgage/Rent, Car Payment, Gas, Groceries/Food, Utilities, Tuition, Loans, Student Loans, Insurance, Daycare, Clothing, Entertainment, Travel, Gifts, Medical, and Other." promptTitle="Accepted Entries" prompt="Will only Accept values of Mortgage/Rent, Car Payment, Gas, Groceries/Food, Utilities, Tuition, Loans, Student Loans, Insurance, Daycare, Clothing, Entertainment, Travel, Gifts, Medical, and Other." xr:uid="{6E97B87C-09E9-4658-8520-8D68EC40F4BF}">
          <x14:formula1>
            <xm:f>'Do Not Touch'!$B$5:$B$20</xm:f>
          </x14:formula1>
          <xm:sqref>F3:F1048576</xm:sqref>
        </x14:dataValidation>
        <x14:dataValidation type="list" allowBlank="1" showInputMessage="1" showErrorMessage="1" errorTitle="Invalid Entry" error="You attempted to enter an entry that is not valid." promptTitle="Valid Entries" prompt="The valid entries are Cash, Credit Card, Check, Debit Card, and Charge Card." xr:uid="{AC22B866-ABCC-4529-A66F-9A89BB64C003}">
          <x14:formula1>
            <xm:f>'Do Not Touch'!$E$5:$E$9</xm:f>
          </x14:formula1>
          <xm:sqref>C3:C1048576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D593D-3A67-4487-90F2-7A6570A772E3}">
  <sheetPr codeName="Sheet4">
    <tabColor rgb="FFFF0000"/>
  </sheetPr>
  <dimension ref="B20:H43"/>
  <sheetViews>
    <sheetView topLeftCell="B1" workbookViewId="0">
      <selection activeCell="B24" sqref="B24"/>
    </sheetView>
  </sheetViews>
  <sheetFormatPr defaultRowHeight="14.4" x14ac:dyDescent="0.3"/>
  <cols>
    <col min="2" max="2" width="19.5546875" bestFit="1" customWidth="1"/>
    <col min="3" max="3" width="15.44140625" bestFit="1" customWidth="1"/>
    <col min="4" max="4" width="5" bestFit="1" customWidth="1"/>
    <col min="5" max="5" width="10.88671875" bestFit="1" customWidth="1"/>
    <col min="6" max="6" width="10.5546875" bestFit="1" customWidth="1"/>
    <col min="7" max="7" width="14.109375" customWidth="1"/>
    <col min="8" max="8" width="17.6640625" bestFit="1" customWidth="1"/>
    <col min="9" max="9" width="3.88671875" bestFit="1" customWidth="1"/>
    <col min="10" max="10" width="4.5546875" bestFit="1" customWidth="1"/>
    <col min="11" max="11" width="13.88671875" bestFit="1" customWidth="1"/>
    <col min="12" max="12" width="5.5546875" bestFit="1" customWidth="1"/>
    <col min="13" max="13" width="6.5546875" bestFit="1" customWidth="1"/>
    <col min="14" max="14" width="7.44140625" bestFit="1" customWidth="1"/>
    <col min="15" max="15" width="9.44140625" bestFit="1" customWidth="1"/>
    <col min="16" max="16" width="10.5546875" bestFit="1" customWidth="1"/>
  </cols>
  <sheetData>
    <row r="20" spans="2:8" x14ac:dyDescent="0.3">
      <c r="B20" s="4" t="s">
        <v>40</v>
      </c>
      <c r="C20" s="4" t="s">
        <v>15</v>
      </c>
    </row>
    <row r="21" spans="2:8" x14ac:dyDescent="0.3">
      <c r="B21" s="4" t="s">
        <v>16</v>
      </c>
      <c r="C21" t="s">
        <v>10</v>
      </c>
      <c r="D21" t="s">
        <v>8</v>
      </c>
      <c r="E21" t="s">
        <v>17</v>
      </c>
    </row>
    <row r="22" spans="2:8" x14ac:dyDescent="0.3">
      <c r="B22" s="5" t="s">
        <v>18</v>
      </c>
      <c r="C22" s="3"/>
      <c r="D22" s="3"/>
      <c r="E22" s="3"/>
    </row>
    <row r="23" spans="2:8" x14ac:dyDescent="0.3">
      <c r="B23" s="48" t="s">
        <v>19</v>
      </c>
      <c r="C23" s="3">
        <v>2730</v>
      </c>
      <c r="D23" s="3">
        <v>5020</v>
      </c>
      <c r="E23" s="3">
        <v>7750</v>
      </c>
    </row>
    <row r="24" spans="2:8" x14ac:dyDescent="0.3">
      <c r="B24" s="48" t="s">
        <v>20</v>
      </c>
      <c r="C24" s="3">
        <v>2700</v>
      </c>
      <c r="D24" s="3">
        <v>40</v>
      </c>
      <c r="E24" s="3">
        <v>2740</v>
      </c>
    </row>
    <row r="25" spans="2:8" x14ac:dyDescent="0.3">
      <c r="B25" s="48" t="s">
        <v>21</v>
      </c>
      <c r="C25" s="3">
        <v>2700</v>
      </c>
      <c r="D25" s="3">
        <v>1300</v>
      </c>
      <c r="E25" s="3">
        <v>4000</v>
      </c>
    </row>
    <row r="26" spans="2:8" x14ac:dyDescent="0.3">
      <c r="B26" s="48" t="s">
        <v>22</v>
      </c>
      <c r="C26" s="3">
        <v>2400</v>
      </c>
      <c r="D26" s="3"/>
      <c r="E26" s="3">
        <v>2400</v>
      </c>
    </row>
    <row r="27" spans="2:8" x14ac:dyDescent="0.3">
      <c r="B27" s="5" t="s">
        <v>17</v>
      </c>
      <c r="C27" s="3">
        <v>10530</v>
      </c>
      <c r="D27" s="3">
        <v>6360</v>
      </c>
      <c r="E27" s="3">
        <v>16890</v>
      </c>
    </row>
    <row r="32" spans="2:8" x14ac:dyDescent="0.3">
      <c r="G32" s="4" t="s">
        <v>16</v>
      </c>
      <c r="H32" t="s">
        <v>41</v>
      </c>
    </row>
    <row r="33" spans="7:8" x14ac:dyDescent="0.3">
      <c r="G33" s="5" t="s">
        <v>38</v>
      </c>
      <c r="H33" s="7">
        <v>1.859427296392711E-2</v>
      </c>
    </row>
    <row r="34" spans="7:8" x14ac:dyDescent="0.3">
      <c r="G34" s="5" t="s">
        <v>31</v>
      </c>
      <c r="H34" s="7">
        <v>0.37671997024916326</v>
      </c>
    </row>
    <row r="35" spans="7:8" x14ac:dyDescent="0.3">
      <c r="G35" s="5" t="s">
        <v>36</v>
      </c>
      <c r="H35" s="7">
        <v>1.4875418371141688E-3</v>
      </c>
    </row>
    <row r="36" spans="7:8" x14ac:dyDescent="0.3">
      <c r="G36" s="5" t="s">
        <v>37</v>
      </c>
      <c r="H36" s="7">
        <v>1.1156563778356266E-2</v>
      </c>
    </row>
    <row r="37" spans="7:8" x14ac:dyDescent="0.3">
      <c r="G37" s="5" t="s">
        <v>35</v>
      </c>
      <c r="H37" s="7">
        <v>0.11156563778356267</v>
      </c>
    </row>
    <row r="38" spans="7:8" x14ac:dyDescent="0.3">
      <c r="G38" s="5" t="s">
        <v>29</v>
      </c>
      <c r="H38" s="7">
        <v>7.4377091855708439E-4</v>
      </c>
    </row>
    <row r="39" spans="7:8" x14ac:dyDescent="0.3">
      <c r="G39" s="5" t="s">
        <v>33</v>
      </c>
      <c r="H39" s="7">
        <v>0.22313127556712534</v>
      </c>
    </row>
    <row r="40" spans="7:8" x14ac:dyDescent="0.3">
      <c r="G40" s="5" t="s">
        <v>34</v>
      </c>
      <c r="H40" s="7">
        <v>5.5782818891781334E-2</v>
      </c>
    </row>
    <row r="41" spans="7:8" x14ac:dyDescent="0.3">
      <c r="G41" s="5" t="s">
        <v>32</v>
      </c>
      <c r="H41" s="7">
        <v>0.18594272963927111</v>
      </c>
    </row>
    <row r="42" spans="7:8" x14ac:dyDescent="0.3">
      <c r="G42" s="5" t="s">
        <v>39</v>
      </c>
      <c r="H42" s="7">
        <v>1.4875418371141688E-2</v>
      </c>
    </row>
    <row r="43" spans="7:8" x14ac:dyDescent="0.3">
      <c r="G43" s="5" t="s">
        <v>17</v>
      </c>
      <c r="H43" s="7">
        <v>1</v>
      </c>
    </row>
  </sheetData>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9E353-1CC4-462A-A633-B2AF18652D0A}">
  <sheetPr codeName="Sheet5">
    <tabColor rgb="FF7030A0"/>
  </sheetPr>
  <dimension ref="B5:C8"/>
  <sheetViews>
    <sheetView workbookViewId="0">
      <selection activeCell="D7" sqref="D7"/>
    </sheetView>
  </sheetViews>
  <sheetFormatPr defaultRowHeight="14.4" x14ac:dyDescent="0.3"/>
  <cols>
    <col min="2" max="2" width="41.44140625" customWidth="1"/>
  </cols>
  <sheetData>
    <row r="5" spans="2:3" ht="18" x14ac:dyDescent="0.35">
      <c r="B5" s="44" t="s">
        <v>42</v>
      </c>
      <c r="C5" s="45"/>
    </row>
    <row r="6" spans="2:3" x14ac:dyDescent="0.3">
      <c r="B6" s="31" t="s">
        <v>43</v>
      </c>
      <c r="C6" s="31">
        <v>100000</v>
      </c>
    </row>
    <row r="7" spans="2:3" x14ac:dyDescent="0.3">
      <c r="B7" s="31" t="s">
        <v>44</v>
      </c>
      <c r="C7" s="31">
        <f ca="1">SUMIF(Expense_Tracker_Table[Reason for Expenditure],"Student Loans",'Expense Tracker Data'!D3:D18)</f>
        <v>6000</v>
      </c>
    </row>
    <row r="8" spans="2:3" x14ac:dyDescent="0.3">
      <c r="B8" s="31" t="s">
        <v>45</v>
      </c>
      <c r="C8" s="31">
        <f ca="1">C6-C7</f>
        <v>94000</v>
      </c>
    </row>
  </sheetData>
  <mergeCells count="1">
    <mergeCell ref="B5:C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48D98-2ABF-4016-BB7E-1C01868B8AA3}">
  <sheetPr codeName="Sheet6">
    <tabColor rgb="FF0070C0"/>
  </sheetPr>
  <dimension ref="B1:I976"/>
  <sheetViews>
    <sheetView topLeftCell="B1" workbookViewId="0">
      <pane ySplit="4" topLeftCell="A5" activePane="bottomLeft" state="frozen"/>
      <selection pane="bottomLeft" activeCell="G14" sqref="G14"/>
    </sheetView>
  </sheetViews>
  <sheetFormatPr defaultRowHeight="14.4" x14ac:dyDescent="0.3"/>
  <cols>
    <col min="2" max="2" width="15.33203125" style="1" customWidth="1"/>
    <col min="3" max="3" width="14.44140625" style="1" customWidth="1"/>
    <col min="4" max="4" width="10.109375" style="8" bestFit="1" customWidth="1"/>
    <col min="5" max="5" width="11.33203125" style="2" bestFit="1" customWidth="1"/>
    <col min="6" max="6" width="12" style="2" bestFit="1" customWidth="1"/>
    <col min="7" max="7" width="36.109375" bestFit="1" customWidth="1"/>
    <col min="9" max="9" width="24.44140625" bestFit="1" customWidth="1"/>
  </cols>
  <sheetData>
    <row r="1" spans="2:9" x14ac:dyDescent="0.3">
      <c r="B1" s="6"/>
      <c r="C1"/>
      <c r="D1"/>
      <c r="E1"/>
      <c r="F1"/>
    </row>
    <row r="2" spans="2:9" ht="15" thickBot="1" x14ac:dyDescent="0.35">
      <c r="B2" s="6"/>
      <c r="C2"/>
      <c r="D2"/>
      <c r="E2"/>
      <c r="F2"/>
    </row>
    <row r="3" spans="2:9" ht="24.6" thickTop="1" thickBot="1" x14ac:dyDescent="0.5">
      <c r="B3" s="46" t="s">
        <v>46</v>
      </c>
      <c r="C3" s="47"/>
      <c r="D3" s="47"/>
      <c r="E3" s="47"/>
      <c r="F3" s="47"/>
      <c r="G3" s="47"/>
      <c r="I3" s="32" t="s">
        <v>47</v>
      </c>
    </row>
    <row r="4" spans="2:9" ht="15.6" thickTop="1" thickBot="1" x14ac:dyDescent="0.35">
      <c r="B4" s="9" t="s">
        <v>5</v>
      </c>
      <c r="C4" s="10" t="s">
        <v>6</v>
      </c>
      <c r="D4" s="10" t="s">
        <v>7</v>
      </c>
      <c r="E4" s="10" t="s">
        <v>27</v>
      </c>
      <c r="F4" s="11" t="s">
        <v>48</v>
      </c>
      <c r="G4" s="10" t="s">
        <v>49</v>
      </c>
      <c r="I4" s="32">
        <v>10000</v>
      </c>
    </row>
    <row r="5" spans="2:9" ht="15" thickTop="1" x14ac:dyDescent="0.3">
      <c r="B5" s="12">
        <v>43466</v>
      </c>
      <c r="C5" s="13">
        <f t="shared" ref="C5:C10" si="0">EOMONTH(B5,0)</f>
        <v>43496</v>
      </c>
      <c r="D5" s="14">
        <f>'Income Tracker Data'!V3</f>
        <v>4150</v>
      </c>
      <c r="E5" s="15">
        <f>'Expense Tracker Data'!V3</f>
        <v>7750</v>
      </c>
      <c r="F5" s="15">
        <f>D5-E5</f>
        <v>-3600</v>
      </c>
      <c r="G5" s="15">
        <f>I4+F5</f>
        <v>6400</v>
      </c>
    </row>
    <row r="6" spans="2:9" x14ac:dyDescent="0.3">
      <c r="B6" s="12">
        <v>43497</v>
      </c>
      <c r="C6" s="13">
        <f t="shared" si="0"/>
        <v>43524</v>
      </c>
      <c r="D6" s="14">
        <f>'Income Tracker Data'!V4</f>
        <v>8050</v>
      </c>
      <c r="E6" s="15">
        <f>'Expense Tracker Data'!V4</f>
        <v>2740</v>
      </c>
      <c r="F6" s="15">
        <f t="shared" ref="F6:F69" si="1">D6-E6</f>
        <v>5310</v>
      </c>
      <c r="G6" s="15">
        <f>IF(AND(D6&gt;0,E6&gt;0),G5+Bottom_Line_Table[[#This Row],[Difference]],"N/A")</f>
        <v>11710</v>
      </c>
    </row>
    <row r="7" spans="2:9" x14ac:dyDescent="0.3">
      <c r="B7" s="12">
        <v>43525</v>
      </c>
      <c r="C7" s="13">
        <f t="shared" si="0"/>
        <v>43555</v>
      </c>
      <c r="D7" s="14">
        <f>'Income Tracker Data'!V5</f>
        <v>4350</v>
      </c>
      <c r="E7" s="15">
        <f>'Expense Tracker Data'!V5</f>
        <v>4000</v>
      </c>
      <c r="F7" s="15">
        <f>D7-E7</f>
        <v>350</v>
      </c>
      <c r="G7" s="15">
        <f>IF(AND(D7&gt;0,E7&gt;0),G6+Bottom_Line_Table[[#This Row],[Difference]],"N/A")</f>
        <v>12060</v>
      </c>
    </row>
    <row r="8" spans="2:9" x14ac:dyDescent="0.3">
      <c r="B8" s="12">
        <v>43556</v>
      </c>
      <c r="C8" s="13">
        <f t="shared" si="0"/>
        <v>43585</v>
      </c>
      <c r="D8" s="14">
        <f>'Income Tracker Data'!V6</f>
        <v>2000</v>
      </c>
      <c r="E8" s="15">
        <f>'Expense Tracker Data'!V6</f>
        <v>2400</v>
      </c>
      <c r="F8" s="15">
        <f t="shared" ref="F8" si="2">D8-E8</f>
        <v>-400</v>
      </c>
      <c r="G8" s="15">
        <f>IF(AND(D8&gt;0,E8&gt;0),G7+Bottom_Line_Table[[#This Row],[Difference]],"N/A")</f>
        <v>11660</v>
      </c>
    </row>
    <row r="9" spans="2:9" x14ac:dyDescent="0.3">
      <c r="B9" s="12">
        <v>43586</v>
      </c>
      <c r="C9" s="13">
        <f t="shared" si="0"/>
        <v>43616</v>
      </c>
      <c r="D9" s="14">
        <f>'Income Tracker Data'!V7</f>
        <v>0</v>
      </c>
      <c r="E9" s="15">
        <f>'Expense Tracker Data'!V7</f>
        <v>0</v>
      </c>
      <c r="F9" s="15">
        <f t="shared" si="1"/>
        <v>0</v>
      </c>
      <c r="G9" s="15" t="str">
        <f>IF(AND(D9&gt;0,E9&gt;0),G8+Bottom_Line_Table[[#This Row],[Difference]],"N/A")</f>
        <v>N/A</v>
      </c>
    </row>
    <row r="10" spans="2:9" x14ac:dyDescent="0.3">
      <c r="B10" s="12">
        <v>43617</v>
      </c>
      <c r="C10" s="13">
        <f t="shared" si="0"/>
        <v>43646</v>
      </c>
      <c r="D10" s="14">
        <f>'Income Tracker Data'!V8</f>
        <v>0</v>
      </c>
      <c r="E10" s="15">
        <f>'Expense Tracker Data'!V8</f>
        <v>0</v>
      </c>
      <c r="F10" s="15">
        <f t="shared" si="1"/>
        <v>0</v>
      </c>
      <c r="G10" s="15" t="str">
        <f>IF(AND(D10&gt;0,E10&gt;0),G9+Bottom_Line_Table[[#This Row],[Difference]],"N/A")</f>
        <v>N/A</v>
      </c>
    </row>
    <row r="11" spans="2:9" x14ac:dyDescent="0.3">
      <c r="B11" s="12">
        <v>43647</v>
      </c>
      <c r="C11" s="13">
        <f>EOMONTH(B11,0)</f>
        <v>43677</v>
      </c>
      <c r="D11" s="14">
        <f>'Income Tracker Data'!V9</f>
        <v>0</v>
      </c>
      <c r="E11" s="15">
        <f>'Expense Tracker Data'!V9</f>
        <v>0</v>
      </c>
      <c r="F11" s="15">
        <f t="shared" si="1"/>
        <v>0</v>
      </c>
      <c r="G11" s="15" t="str">
        <f>IF(AND(D11&gt;0,E11&gt;0),G10+Bottom_Line_Table[[#This Row],[Difference]],"N/A")</f>
        <v>N/A</v>
      </c>
    </row>
    <row r="12" spans="2:9" x14ac:dyDescent="0.3">
      <c r="B12" s="12">
        <v>43678</v>
      </c>
      <c r="C12" s="13">
        <f t="shared" ref="C12:C74" si="3">EOMONTH(B12,0)</f>
        <v>43708</v>
      </c>
      <c r="D12" s="14">
        <f>'Income Tracker Data'!V10</f>
        <v>0</v>
      </c>
      <c r="E12" s="15">
        <f>'Expense Tracker Data'!V10</f>
        <v>0</v>
      </c>
      <c r="F12" s="15">
        <f t="shared" si="1"/>
        <v>0</v>
      </c>
      <c r="G12" s="15" t="str">
        <f>IF(AND(D12&gt;0,E12&gt;0),G11+Bottom_Line_Table[[#This Row],[Difference]],"N/A")</f>
        <v>N/A</v>
      </c>
    </row>
    <row r="13" spans="2:9" x14ac:dyDescent="0.3">
      <c r="B13" s="12">
        <v>43709</v>
      </c>
      <c r="C13" s="13">
        <f t="shared" si="3"/>
        <v>43738</v>
      </c>
      <c r="D13" s="14">
        <f>'Income Tracker Data'!V11</f>
        <v>0</v>
      </c>
      <c r="E13" s="15">
        <f>'Expense Tracker Data'!V11</f>
        <v>0</v>
      </c>
      <c r="F13" s="15">
        <f t="shared" si="1"/>
        <v>0</v>
      </c>
      <c r="G13" s="15" t="str">
        <f>IF(AND(D13&gt;0,E13&gt;0),G12+Bottom_Line_Table[[#This Row],[Difference]],"N/A")</f>
        <v>N/A</v>
      </c>
    </row>
    <row r="14" spans="2:9" x14ac:dyDescent="0.3">
      <c r="B14" s="12">
        <v>43739</v>
      </c>
      <c r="C14" s="13">
        <f t="shared" si="3"/>
        <v>43769</v>
      </c>
      <c r="D14" s="14">
        <f>'Income Tracker Data'!V12</f>
        <v>0</v>
      </c>
      <c r="E14" s="15">
        <f>'Expense Tracker Data'!V12</f>
        <v>0</v>
      </c>
      <c r="F14" s="15">
        <f t="shared" si="1"/>
        <v>0</v>
      </c>
      <c r="G14" s="15" t="str">
        <f>IF(AND(D14&gt;0,E14&gt;0),G13+Bottom_Line_Table[[#This Row],[Difference]],"N/A")</f>
        <v>N/A</v>
      </c>
    </row>
    <row r="15" spans="2:9" x14ac:dyDescent="0.3">
      <c r="B15" s="12">
        <v>43770</v>
      </c>
      <c r="C15" s="13">
        <f t="shared" si="3"/>
        <v>43799</v>
      </c>
      <c r="D15" s="14">
        <f>'Income Tracker Data'!V13</f>
        <v>0</v>
      </c>
      <c r="E15" s="15">
        <f>'Expense Tracker Data'!V13</f>
        <v>0</v>
      </c>
      <c r="F15" s="15">
        <f t="shared" si="1"/>
        <v>0</v>
      </c>
      <c r="G15" s="15" t="str">
        <f>IF(AND(D15&gt;0,E15&gt;0),G14+Bottom_Line_Table[[#This Row],[Difference]],"N/A")</f>
        <v>N/A</v>
      </c>
    </row>
    <row r="16" spans="2:9" x14ac:dyDescent="0.3">
      <c r="B16" s="12">
        <v>43800</v>
      </c>
      <c r="C16" s="13">
        <f t="shared" si="3"/>
        <v>43830</v>
      </c>
      <c r="D16" s="14">
        <f>'Income Tracker Data'!V14</f>
        <v>0</v>
      </c>
      <c r="E16" s="15">
        <f>'Expense Tracker Data'!V14</f>
        <v>0</v>
      </c>
      <c r="F16" s="15">
        <f t="shared" si="1"/>
        <v>0</v>
      </c>
      <c r="G16" s="15" t="str">
        <f>IF(AND(D16&gt;0,E16&gt;0),G15+Bottom_Line_Table[[#This Row],[Difference]],"N/A")</f>
        <v>N/A</v>
      </c>
    </row>
    <row r="17" spans="2:7" x14ac:dyDescent="0.3">
      <c r="B17" s="12">
        <v>43831</v>
      </c>
      <c r="C17" s="13">
        <f t="shared" si="3"/>
        <v>43861</v>
      </c>
      <c r="D17" s="14">
        <f>'Income Tracker Data'!V15</f>
        <v>0</v>
      </c>
      <c r="E17" s="15">
        <f>'Expense Tracker Data'!V15</f>
        <v>0</v>
      </c>
      <c r="F17" s="15">
        <f t="shared" si="1"/>
        <v>0</v>
      </c>
      <c r="G17" s="15" t="str">
        <f>IF(AND(D17&gt;0,E17&gt;0),G16+Bottom_Line_Table[[#This Row],[Difference]],"N/A")</f>
        <v>N/A</v>
      </c>
    </row>
    <row r="18" spans="2:7" x14ac:dyDescent="0.3">
      <c r="B18" s="12">
        <v>43862</v>
      </c>
      <c r="C18" s="13">
        <f t="shared" si="3"/>
        <v>43890</v>
      </c>
      <c r="D18" s="14">
        <f>'Income Tracker Data'!V16</f>
        <v>0</v>
      </c>
      <c r="E18" s="15">
        <f>'Expense Tracker Data'!V16</f>
        <v>0</v>
      </c>
      <c r="F18" s="15">
        <f t="shared" si="1"/>
        <v>0</v>
      </c>
      <c r="G18" s="15" t="str">
        <f>IF(AND(D18&gt;0,E18&gt;0),G17+Bottom_Line_Table[[#This Row],[Difference]],"N/A")</f>
        <v>N/A</v>
      </c>
    </row>
    <row r="19" spans="2:7" x14ac:dyDescent="0.3">
      <c r="B19" s="12">
        <v>43891</v>
      </c>
      <c r="C19" s="13">
        <f t="shared" si="3"/>
        <v>43921</v>
      </c>
      <c r="D19" s="14">
        <f>'Income Tracker Data'!V17</f>
        <v>0</v>
      </c>
      <c r="E19" s="15">
        <f>'Expense Tracker Data'!V17</f>
        <v>0</v>
      </c>
      <c r="F19" s="15">
        <f t="shared" si="1"/>
        <v>0</v>
      </c>
      <c r="G19" s="15" t="str">
        <f>IF(AND(D19&gt;0,E19&gt;0),G18+Bottom_Line_Table[[#This Row],[Difference]],"N/A")</f>
        <v>N/A</v>
      </c>
    </row>
    <row r="20" spans="2:7" x14ac:dyDescent="0.3">
      <c r="B20" s="12">
        <v>43922</v>
      </c>
      <c r="C20" s="13">
        <f t="shared" si="3"/>
        <v>43951</v>
      </c>
      <c r="D20" s="14">
        <f>'Income Tracker Data'!V18</f>
        <v>0</v>
      </c>
      <c r="E20" s="15">
        <f>'Expense Tracker Data'!V18</f>
        <v>0</v>
      </c>
      <c r="F20" s="15">
        <f t="shared" si="1"/>
        <v>0</v>
      </c>
      <c r="G20" s="15" t="str">
        <f>IF(AND(D20&gt;0,E20&gt;0),G19+Bottom_Line_Table[[#This Row],[Difference]],"N/A")</f>
        <v>N/A</v>
      </c>
    </row>
    <row r="21" spans="2:7" x14ac:dyDescent="0.3">
      <c r="B21" s="12">
        <v>43952</v>
      </c>
      <c r="C21" s="13">
        <f t="shared" si="3"/>
        <v>43982</v>
      </c>
      <c r="D21" s="14">
        <f>'Income Tracker Data'!V19</f>
        <v>0</v>
      </c>
      <c r="E21" s="15">
        <f>'Expense Tracker Data'!V19</f>
        <v>0</v>
      </c>
      <c r="F21" s="15">
        <f t="shared" si="1"/>
        <v>0</v>
      </c>
      <c r="G21" s="15" t="str">
        <f>IF(AND(D21&gt;0,E21&gt;0),G20+Bottom_Line_Table[[#This Row],[Difference]],"N/A")</f>
        <v>N/A</v>
      </c>
    </row>
    <row r="22" spans="2:7" x14ac:dyDescent="0.3">
      <c r="B22" s="12">
        <v>43983</v>
      </c>
      <c r="C22" s="13">
        <f t="shared" si="3"/>
        <v>44012</v>
      </c>
      <c r="D22" s="14">
        <f>'Income Tracker Data'!V20</f>
        <v>0</v>
      </c>
      <c r="E22" s="15">
        <f>'Expense Tracker Data'!V20</f>
        <v>0</v>
      </c>
      <c r="F22" s="15">
        <f t="shared" si="1"/>
        <v>0</v>
      </c>
      <c r="G22" s="15" t="str">
        <f>IF(AND(D22&gt;0,E22&gt;0),G21+Bottom_Line_Table[[#This Row],[Difference]],"N/A")</f>
        <v>N/A</v>
      </c>
    </row>
    <row r="23" spans="2:7" x14ac:dyDescent="0.3">
      <c r="B23" s="12">
        <v>44013</v>
      </c>
      <c r="C23" s="13">
        <f t="shared" si="3"/>
        <v>44043</v>
      </c>
      <c r="D23" s="14">
        <f>'Income Tracker Data'!V21</f>
        <v>0</v>
      </c>
      <c r="E23" s="15">
        <f>'Expense Tracker Data'!V21</f>
        <v>0</v>
      </c>
      <c r="F23" s="15">
        <f t="shared" si="1"/>
        <v>0</v>
      </c>
      <c r="G23" s="15" t="str">
        <f>IF(AND(D23&gt;0,E23&gt;0),G22+Bottom_Line_Table[[#This Row],[Difference]],"N/A")</f>
        <v>N/A</v>
      </c>
    </row>
    <row r="24" spans="2:7" x14ac:dyDescent="0.3">
      <c r="B24" s="12">
        <v>44044</v>
      </c>
      <c r="C24" s="13">
        <f t="shared" si="3"/>
        <v>44074</v>
      </c>
      <c r="D24" s="14">
        <f>'Income Tracker Data'!V22</f>
        <v>0</v>
      </c>
      <c r="E24" s="15">
        <f>'Expense Tracker Data'!V22</f>
        <v>0</v>
      </c>
      <c r="F24" s="15">
        <f t="shared" si="1"/>
        <v>0</v>
      </c>
      <c r="G24" s="15" t="str">
        <f>IF(AND(D24&gt;0,E24&gt;0),G23+Bottom_Line_Table[[#This Row],[Difference]],"N/A")</f>
        <v>N/A</v>
      </c>
    </row>
    <row r="25" spans="2:7" x14ac:dyDescent="0.3">
      <c r="B25" s="12">
        <v>44075</v>
      </c>
      <c r="C25" s="13">
        <f t="shared" si="3"/>
        <v>44104</v>
      </c>
      <c r="D25" s="14">
        <f>'Income Tracker Data'!V23</f>
        <v>0</v>
      </c>
      <c r="E25" s="15">
        <f>'Expense Tracker Data'!V23</f>
        <v>0</v>
      </c>
      <c r="F25" s="15">
        <f t="shared" si="1"/>
        <v>0</v>
      </c>
      <c r="G25" s="15" t="str">
        <f>IF(AND(D25&gt;0,E25&gt;0),G24+Bottom_Line_Table[[#This Row],[Difference]],"N/A")</f>
        <v>N/A</v>
      </c>
    </row>
    <row r="26" spans="2:7" x14ac:dyDescent="0.3">
      <c r="B26" s="12">
        <v>44105</v>
      </c>
      <c r="C26" s="13">
        <f t="shared" si="3"/>
        <v>44135</v>
      </c>
      <c r="D26" s="14">
        <f>'Income Tracker Data'!V24</f>
        <v>0</v>
      </c>
      <c r="E26" s="15">
        <f>'Expense Tracker Data'!V24</f>
        <v>0</v>
      </c>
      <c r="F26" s="15">
        <f t="shared" si="1"/>
        <v>0</v>
      </c>
      <c r="G26" s="15" t="str">
        <f>IF(AND(D26&gt;0,E26&gt;0),G25+Bottom_Line_Table[[#This Row],[Difference]],"N/A")</f>
        <v>N/A</v>
      </c>
    </row>
    <row r="27" spans="2:7" x14ac:dyDescent="0.3">
      <c r="B27" s="12">
        <v>44136</v>
      </c>
      <c r="C27" s="13">
        <f t="shared" si="3"/>
        <v>44165</v>
      </c>
      <c r="D27" s="14">
        <f>'Income Tracker Data'!V25</f>
        <v>0</v>
      </c>
      <c r="E27" s="15">
        <f>'Expense Tracker Data'!V25</f>
        <v>0</v>
      </c>
      <c r="F27" s="15">
        <f t="shared" si="1"/>
        <v>0</v>
      </c>
      <c r="G27" s="15" t="str">
        <f>IF(AND(D27&gt;0,E27&gt;0),G26+Bottom_Line_Table[[#This Row],[Difference]],"N/A")</f>
        <v>N/A</v>
      </c>
    </row>
    <row r="28" spans="2:7" x14ac:dyDescent="0.3">
      <c r="B28" s="12">
        <v>44166</v>
      </c>
      <c r="C28" s="13">
        <f t="shared" si="3"/>
        <v>44196</v>
      </c>
      <c r="D28" s="14">
        <f>'Income Tracker Data'!V26</f>
        <v>0</v>
      </c>
      <c r="E28" s="15">
        <f>'Expense Tracker Data'!V26</f>
        <v>0</v>
      </c>
      <c r="F28" s="15">
        <f t="shared" si="1"/>
        <v>0</v>
      </c>
      <c r="G28" s="15" t="str">
        <f>IF(AND(D28&gt;0,E28&gt;0),G27+Bottom_Line_Table[[#This Row],[Difference]],"N/A")</f>
        <v>N/A</v>
      </c>
    </row>
    <row r="29" spans="2:7" x14ac:dyDescent="0.3">
      <c r="B29" s="12">
        <v>44197</v>
      </c>
      <c r="C29" s="13">
        <f t="shared" si="3"/>
        <v>44227</v>
      </c>
      <c r="D29" s="14">
        <f>'Income Tracker Data'!V27</f>
        <v>0</v>
      </c>
      <c r="E29" s="15">
        <f>'Expense Tracker Data'!V27</f>
        <v>0</v>
      </c>
      <c r="F29" s="15">
        <f t="shared" si="1"/>
        <v>0</v>
      </c>
      <c r="G29" s="15" t="str">
        <f>IF(AND(D29&gt;0,E29&gt;0),G28+Bottom_Line_Table[[#This Row],[Difference]],"N/A")</f>
        <v>N/A</v>
      </c>
    </row>
    <row r="30" spans="2:7" x14ac:dyDescent="0.3">
      <c r="B30" s="12">
        <v>44228</v>
      </c>
      <c r="C30" s="13">
        <f t="shared" si="3"/>
        <v>44255</v>
      </c>
      <c r="D30" s="14">
        <f>'Income Tracker Data'!V28</f>
        <v>0</v>
      </c>
      <c r="E30" s="15">
        <f>'Expense Tracker Data'!V28</f>
        <v>0</v>
      </c>
      <c r="F30" s="15">
        <f t="shared" si="1"/>
        <v>0</v>
      </c>
      <c r="G30" s="15" t="str">
        <f>IF(AND(D30&gt;0,E30&gt;0),G29+Bottom_Line_Table[[#This Row],[Difference]],"N/A")</f>
        <v>N/A</v>
      </c>
    </row>
    <row r="31" spans="2:7" x14ac:dyDescent="0.3">
      <c r="B31" s="12">
        <v>44256</v>
      </c>
      <c r="C31" s="13">
        <f t="shared" si="3"/>
        <v>44286</v>
      </c>
      <c r="D31" s="14">
        <f>'Income Tracker Data'!V29</f>
        <v>0</v>
      </c>
      <c r="E31" s="15">
        <f>'Expense Tracker Data'!V29</f>
        <v>0</v>
      </c>
      <c r="F31" s="15">
        <f t="shared" si="1"/>
        <v>0</v>
      </c>
      <c r="G31" s="15" t="str">
        <f>IF(AND(D31&gt;0,E31&gt;0),G30+Bottom_Line_Table[[#This Row],[Difference]],"N/A")</f>
        <v>N/A</v>
      </c>
    </row>
    <row r="32" spans="2:7" x14ac:dyDescent="0.3">
      <c r="B32" s="12">
        <v>44287</v>
      </c>
      <c r="C32" s="13">
        <f t="shared" si="3"/>
        <v>44316</v>
      </c>
      <c r="D32" s="14">
        <f>'Income Tracker Data'!V30</f>
        <v>0</v>
      </c>
      <c r="E32" s="15">
        <f>'Expense Tracker Data'!V30</f>
        <v>0</v>
      </c>
      <c r="F32" s="15">
        <f t="shared" si="1"/>
        <v>0</v>
      </c>
      <c r="G32" s="15" t="str">
        <f>IF(AND(D32&gt;0,E32&gt;0),G31+Bottom_Line_Table[[#This Row],[Difference]],"N/A")</f>
        <v>N/A</v>
      </c>
    </row>
    <row r="33" spans="2:7" x14ac:dyDescent="0.3">
      <c r="B33" s="12">
        <v>44317</v>
      </c>
      <c r="C33" s="13">
        <f t="shared" si="3"/>
        <v>44347</v>
      </c>
      <c r="D33" s="14">
        <f>'Income Tracker Data'!V31</f>
        <v>0</v>
      </c>
      <c r="E33" s="15">
        <f>'Expense Tracker Data'!V31</f>
        <v>0</v>
      </c>
      <c r="F33" s="15">
        <f t="shared" si="1"/>
        <v>0</v>
      </c>
      <c r="G33" s="15" t="str">
        <f>IF(AND(D33&gt;0,E33&gt;0),G32+Bottom_Line_Table[[#This Row],[Difference]],"N/A")</f>
        <v>N/A</v>
      </c>
    </row>
    <row r="34" spans="2:7" x14ac:dyDescent="0.3">
      <c r="B34" s="12">
        <v>44348</v>
      </c>
      <c r="C34" s="13">
        <f t="shared" si="3"/>
        <v>44377</v>
      </c>
      <c r="D34" s="14">
        <f>'Income Tracker Data'!V32</f>
        <v>0</v>
      </c>
      <c r="E34" s="15">
        <f>'Expense Tracker Data'!V32</f>
        <v>0</v>
      </c>
      <c r="F34" s="15">
        <f t="shared" si="1"/>
        <v>0</v>
      </c>
      <c r="G34" s="15" t="str">
        <f>IF(AND(D34&gt;0,E34&gt;0),G33+Bottom_Line_Table[[#This Row],[Difference]],"N/A")</f>
        <v>N/A</v>
      </c>
    </row>
    <row r="35" spans="2:7" x14ac:dyDescent="0.3">
      <c r="B35" s="12">
        <v>44378</v>
      </c>
      <c r="C35" s="13">
        <f t="shared" si="3"/>
        <v>44408</v>
      </c>
      <c r="D35" s="14">
        <f>'Income Tracker Data'!V33</f>
        <v>0</v>
      </c>
      <c r="E35" s="15">
        <f>'Expense Tracker Data'!V33</f>
        <v>0</v>
      </c>
      <c r="F35" s="15">
        <f t="shared" si="1"/>
        <v>0</v>
      </c>
      <c r="G35" s="15" t="str">
        <f>IF(AND(D35&gt;0,E35&gt;0),G34+Bottom_Line_Table[[#This Row],[Difference]],"N/A")</f>
        <v>N/A</v>
      </c>
    </row>
    <row r="36" spans="2:7" x14ac:dyDescent="0.3">
      <c r="B36" s="12">
        <v>44409</v>
      </c>
      <c r="C36" s="13">
        <f t="shared" si="3"/>
        <v>44439</v>
      </c>
      <c r="D36" s="14">
        <f>'Income Tracker Data'!V34</f>
        <v>0</v>
      </c>
      <c r="E36" s="15">
        <f>'Expense Tracker Data'!V34</f>
        <v>0</v>
      </c>
      <c r="F36" s="15">
        <f t="shared" si="1"/>
        <v>0</v>
      </c>
      <c r="G36" s="15" t="str">
        <f>IF(AND(D36&gt;0,E36&gt;0),G35+Bottom_Line_Table[[#This Row],[Difference]],"N/A")</f>
        <v>N/A</v>
      </c>
    </row>
    <row r="37" spans="2:7" x14ac:dyDescent="0.3">
      <c r="B37" s="12">
        <v>44440</v>
      </c>
      <c r="C37" s="13">
        <f t="shared" si="3"/>
        <v>44469</v>
      </c>
      <c r="D37" s="14">
        <f>'Income Tracker Data'!V35</f>
        <v>0</v>
      </c>
      <c r="E37" s="15">
        <f>'Expense Tracker Data'!V35</f>
        <v>0</v>
      </c>
      <c r="F37" s="15">
        <f t="shared" si="1"/>
        <v>0</v>
      </c>
      <c r="G37" s="15" t="str">
        <f>IF(AND(D37&gt;0,E37&gt;0),G36+Bottom_Line_Table[[#This Row],[Difference]],"N/A")</f>
        <v>N/A</v>
      </c>
    </row>
    <row r="38" spans="2:7" x14ac:dyDescent="0.3">
      <c r="B38" s="12">
        <v>44470</v>
      </c>
      <c r="C38" s="13">
        <f t="shared" si="3"/>
        <v>44500</v>
      </c>
      <c r="D38" s="14">
        <f>'Income Tracker Data'!V36</f>
        <v>0</v>
      </c>
      <c r="E38" s="15">
        <f>'Expense Tracker Data'!V36</f>
        <v>0</v>
      </c>
      <c r="F38" s="15">
        <f t="shared" si="1"/>
        <v>0</v>
      </c>
      <c r="G38" s="15" t="str">
        <f>IF(AND(D38&gt;0,E38&gt;0),G37+Bottom_Line_Table[[#This Row],[Difference]],"N/A")</f>
        <v>N/A</v>
      </c>
    </row>
    <row r="39" spans="2:7" x14ac:dyDescent="0.3">
      <c r="B39" s="12">
        <v>44501</v>
      </c>
      <c r="C39" s="13">
        <f t="shared" si="3"/>
        <v>44530</v>
      </c>
      <c r="D39" s="14">
        <f>'Income Tracker Data'!V37</f>
        <v>0</v>
      </c>
      <c r="E39" s="15">
        <f>'Expense Tracker Data'!V37</f>
        <v>0</v>
      </c>
      <c r="F39" s="15">
        <f t="shared" si="1"/>
        <v>0</v>
      </c>
      <c r="G39" s="15" t="str">
        <f>IF(AND(D39&gt;0,E39&gt;0),G38+Bottom_Line_Table[[#This Row],[Difference]],"N/A")</f>
        <v>N/A</v>
      </c>
    </row>
    <row r="40" spans="2:7" x14ac:dyDescent="0.3">
      <c r="B40" s="12">
        <v>44531</v>
      </c>
      <c r="C40" s="13">
        <f t="shared" si="3"/>
        <v>44561</v>
      </c>
      <c r="D40" s="14">
        <f>'Income Tracker Data'!V38</f>
        <v>0</v>
      </c>
      <c r="E40" s="15">
        <f>'Expense Tracker Data'!V38</f>
        <v>0</v>
      </c>
      <c r="F40" s="15">
        <f t="shared" si="1"/>
        <v>0</v>
      </c>
      <c r="G40" s="15" t="str">
        <f>IF(AND(D40&gt;0,E40&gt;0),G39+Bottom_Line_Table[[#This Row],[Difference]],"N/A")</f>
        <v>N/A</v>
      </c>
    </row>
    <row r="41" spans="2:7" x14ac:dyDescent="0.3">
      <c r="B41" s="12">
        <v>44562</v>
      </c>
      <c r="C41" s="13">
        <f t="shared" si="3"/>
        <v>44592</v>
      </c>
      <c r="D41" s="14">
        <f>'Income Tracker Data'!V39</f>
        <v>0</v>
      </c>
      <c r="E41" s="15">
        <f>'Expense Tracker Data'!V39</f>
        <v>0</v>
      </c>
      <c r="F41" s="15">
        <f t="shared" si="1"/>
        <v>0</v>
      </c>
      <c r="G41" s="15" t="str">
        <f>IF(AND(D41&gt;0,E41&gt;0),G40+Bottom_Line_Table[[#This Row],[Difference]],"N/A")</f>
        <v>N/A</v>
      </c>
    </row>
    <row r="42" spans="2:7" x14ac:dyDescent="0.3">
      <c r="B42" s="12">
        <v>44593</v>
      </c>
      <c r="C42" s="13">
        <f t="shared" si="3"/>
        <v>44620</v>
      </c>
      <c r="D42" s="14">
        <f>'Income Tracker Data'!V40</f>
        <v>0</v>
      </c>
      <c r="E42" s="15">
        <f>'Expense Tracker Data'!V40</f>
        <v>0</v>
      </c>
      <c r="F42" s="15">
        <f t="shared" si="1"/>
        <v>0</v>
      </c>
      <c r="G42" s="15" t="str">
        <f>IF(AND(D42&gt;0,E42&gt;0),G41+Bottom_Line_Table[[#This Row],[Difference]],"N/A")</f>
        <v>N/A</v>
      </c>
    </row>
    <row r="43" spans="2:7" x14ac:dyDescent="0.3">
      <c r="B43" s="12">
        <v>44621</v>
      </c>
      <c r="C43" s="13">
        <f t="shared" si="3"/>
        <v>44651</v>
      </c>
      <c r="D43" s="14">
        <f>'Income Tracker Data'!V41</f>
        <v>0</v>
      </c>
      <c r="E43" s="15">
        <f>'Expense Tracker Data'!V41</f>
        <v>0</v>
      </c>
      <c r="F43" s="15">
        <f t="shared" si="1"/>
        <v>0</v>
      </c>
      <c r="G43" s="15" t="str">
        <f>IF(AND(D43&gt;0,E43&gt;0),G42+Bottom_Line_Table[[#This Row],[Difference]],"N/A")</f>
        <v>N/A</v>
      </c>
    </row>
    <row r="44" spans="2:7" x14ac:dyDescent="0.3">
      <c r="B44" s="12">
        <v>44652</v>
      </c>
      <c r="C44" s="13">
        <f t="shared" si="3"/>
        <v>44681</v>
      </c>
      <c r="D44" s="14">
        <f>'Income Tracker Data'!V42</f>
        <v>0</v>
      </c>
      <c r="E44" s="15">
        <f>'Expense Tracker Data'!V42</f>
        <v>0</v>
      </c>
      <c r="F44" s="15">
        <f t="shared" si="1"/>
        <v>0</v>
      </c>
      <c r="G44" s="15" t="str">
        <f>IF(AND(D44&gt;0,E44&gt;0),G43+Bottom_Line_Table[[#This Row],[Difference]],"N/A")</f>
        <v>N/A</v>
      </c>
    </row>
    <row r="45" spans="2:7" x14ac:dyDescent="0.3">
      <c r="B45" s="12">
        <v>44682</v>
      </c>
      <c r="C45" s="13">
        <f t="shared" si="3"/>
        <v>44712</v>
      </c>
      <c r="D45" s="14">
        <f>'Income Tracker Data'!V43</f>
        <v>0</v>
      </c>
      <c r="E45" s="15">
        <f>'Expense Tracker Data'!V43</f>
        <v>0</v>
      </c>
      <c r="F45" s="15">
        <f t="shared" si="1"/>
        <v>0</v>
      </c>
      <c r="G45" s="15" t="str">
        <f>IF(AND(D45&gt;0,E45&gt;0),G44+Bottom_Line_Table[[#This Row],[Difference]],"N/A")</f>
        <v>N/A</v>
      </c>
    </row>
    <row r="46" spans="2:7" x14ac:dyDescent="0.3">
      <c r="B46" s="12">
        <v>44713</v>
      </c>
      <c r="C46" s="13">
        <f t="shared" si="3"/>
        <v>44742</v>
      </c>
      <c r="D46" s="14">
        <f>'Income Tracker Data'!V44</f>
        <v>0</v>
      </c>
      <c r="E46" s="15">
        <f>'Expense Tracker Data'!V44</f>
        <v>0</v>
      </c>
      <c r="F46" s="15">
        <f t="shared" si="1"/>
        <v>0</v>
      </c>
      <c r="G46" s="15" t="str">
        <f>IF(AND(D46&gt;0,E46&gt;0),G45+Bottom_Line_Table[[#This Row],[Difference]],"N/A")</f>
        <v>N/A</v>
      </c>
    </row>
    <row r="47" spans="2:7" x14ac:dyDescent="0.3">
      <c r="B47" s="12">
        <v>44743</v>
      </c>
      <c r="C47" s="13">
        <f t="shared" si="3"/>
        <v>44773</v>
      </c>
      <c r="D47" s="14">
        <f>'Income Tracker Data'!V45</f>
        <v>0</v>
      </c>
      <c r="E47" s="15">
        <f>'Expense Tracker Data'!V45</f>
        <v>0</v>
      </c>
      <c r="F47" s="15">
        <f t="shared" si="1"/>
        <v>0</v>
      </c>
      <c r="G47" s="15" t="str">
        <f>IF(AND(D47&gt;0,E47&gt;0),G46+Bottom_Line_Table[[#This Row],[Difference]],"N/A")</f>
        <v>N/A</v>
      </c>
    </row>
    <row r="48" spans="2:7" x14ac:dyDescent="0.3">
      <c r="B48" s="12">
        <v>44774</v>
      </c>
      <c r="C48" s="13">
        <f t="shared" si="3"/>
        <v>44804</v>
      </c>
      <c r="D48" s="14">
        <f>'Income Tracker Data'!V46</f>
        <v>0</v>
      </c>
      <c r="E48" s="15">
        <f>'Expense Tracker Data'!V46</f>
        <v>0</v>
      </c>
      <c r="F48" s="15">
        <f t="shared" si="1"/>
        <v>0</v>
      </c>
      <c r="G48" s="15" t="str">
        <f>IF(AND(D48&gt;0,E48&gt;0),G47+Bottom_Line_Table[[#This Row],[Difference]],"N/A")</f>
        <v>N/A</v>
      </c>
    </row>
    <row r="49" spans="2:7" x14ac:dyDescent="0.3">
      <c r="B49" s="12">
        <v>44805</v>
      </c>
      <c r="C49" s="13">
        <f t="shared" si="3"/>
        <v>44834</v>
      </c>
      <c r="D49" s="14">
        <f>'Income Tracker Data'!V47</f>
        <v>0</v>
      </c>
      <c r="E49" s="15">
        <f>'Expense Tracker Data'!V47</f>
        <v>0</v>
      </c>
      <c r="F49" s="15">
        <f t="shared" si="1"/>
        <v>0</v>
      </c>
      <c r="G49" s="15" t="str">
        <f>IF(AND(D49&gt;0,E49&gt;0),G48+Bottom_Line_Table[[#This Row],[Difference]],"N/A")</f>
        <v>N/A</v>
      </c>
    </row>
    <row r="50" spans="2:7" x14ac:dyDescent="0.3">
      <c r="B50" s="12">
        <v>44835</v>
      </c>
      <c r="C50" s="13">
        <f t="shared" si="3"/>
        <v>44865</v>
      </c>
      <c r="D50" s="14">
        <f>'Income Tracker Data'!V48</f>
        <v>0</v>
      </c>
      <c r="E50" s="15">
        <f>'Expense Tracker Data'!V48</f>
        <v>0</v>
      </c>
      <c r="F50" s="15">
        <f t="shared" si="1"/>
        <v>0</v>
      </c>
      <c r="G50" s="15" t="str">
        <f>IF(AND(D50&gt;0,E50&gt;0),G49+Bottom_Line_Table[[#This Row],[Difference]],"N/A")</f>
        <v>N/A</v>
      </c>
    </row>
    <row r="51" spans="2:7" x14ac:dyDescent="0.3">
      <c r="B51" s="12">
        <v>44866</v>
      </c>
      <c r="C51" s="13">
        <f t="shared" si="3"/>
        <v>44895</v>
      </c>
      <c r="D51" s="14">
        <f>'Income Tracker Data'!V49</f>
        <v>0</v>
      </c>
      <c r="E51" s="15">
        <f>'Expense Tracker Data'!V49</f>
        <v>0</v>
      </c>
      <c r="F51" s="15">
        <f t="shared" si="1"/>
        <v>0</v>
      </c>
      <c r="G51" s="15" t="str">
        <f>IF(AND(D51&gt;0,E51&gt;0),G50+Bottom_Line_Table[[#This Row],[Difference]],"N/A")</f>
        <v>N/A</v>
      </c>
    </row>
    <row r="52" spans="2:7" x14ac:dyDescent="0.3">
      <c r="B52" s="12">
        <v>44896</v>
      </c>
      <c r="C52" s="13">
        <f t="shared" si="3"/>
        <v>44926</v>
      </c>
      <c r="D52" s="14">
        <f>'Income Tracker Data'!V50</f>
        <v>0</v>
      </c>
      <c r="E52" s="15">
        <f>'Expense Tracker Data'!V50</f>
        <v>0</v>
      </c>
      <c r="F52" s="15">
        <f t="shared" si="1"/>
        <v>0</v>
      </c>
      <c r="G52" s="15" t="str">
        <f>IF(AND(D52&gt;0,E52&gt;0),G51+Bottom_Line_Table[[#This Row],[Difference]],"N/A")</f>
        <v>N/A</v>
      </c>
    </row>
    <row r="53" spans="2:7" x14ac:dyDescent="0.3">
      <c r="B53" s="12">
        <v>44927</v>
      </c>
      <c r="C53" s="13">
        <f t="shared" si="3"/>
        <v>44957</v>
      </c>
      <c r="D53" s="14">
        <f>'Income Tracker Data'!V51</f>
        <v>0</v>
      </c>
      <c r="E53" s="15">
        <f>'Expense Tracker Data'!V51</f>
        <v>0</v>
      </c>
      <c r="F53" s="15">
        <f t="shared" si="1"/>
        <v>0</v>
      </c>
      <c r="G53" s="15" t="str">
        <f>IF(AND(D53&gt;0,E53&gt;0),G52+Bottom_Line_Table[[#This Row],[Difference]],"N/A")</f>
        <v>N/A</v>
      </c>
    </row>
    <row r="54" spans="2:7" x14ac:dyDescent="0.3">
      <c r="B54" s="12">
        <v>44958</v>
      </c>
      <c r="C54" s="13">
        <f t="shared" si="3"/>
        <v>44985</v>
      </c>
      <c r="D54" s="14">
        <f>'Income Tracker Data'!V52</f>
        <v>0</v>
      </c>
      <c r="E54" s="15">
        <f>'Expense Tracker Data'!V52</f>
        <v>0</v>
      </c>
      <c r="F54" s="15">
        <f t="shared" si="1"/>
        <v>0</v>
      </c>
      <c r="G54" s="15" t="str">
        <f>IF(AND(D54&gt;0,E54&gt;0),G53+Bottom_Line_Table[[#This Row],[Difference]],"N/A")</f>
        <v>N/A</v>
      </c>
    </row>
    <row r="55" spans="2:7" x14ac:dyDescent="0.3">
      <c r="B55" s="12">
        <v>44986</v>
      </c>
      <c r="C55" s="13">
        <f t="shared" si="3"/>
        <v>45016</v>
      </c>
      <c r="D55" s="14">
        <f>'Income Tracker Data'!V53</f>
        <v>0</v>
      </c>
      <c r="E55" s="15">
        <f>'Expense Tracker Data'!V53</f>
        <v>0</v>
      </c>
      <c r="F55" s="15">
        <f t="shared" si="1"/>
        <v>0</v>
      </c>
      <c r="G55" s="15" t="str">
        <f>IF(AND(D55&gt;0,E55&gt;0),G54+Bottom_Line_Table[[#This Row],[Difference]],"N/A")</f>
        <v>N/A</v>
      </c>
    </row>
    <row r="56" spans="2:7" x14ac:dyDescent="0.3">
      <c r="B56" s="12">
        <v>45017</v>
      </c>
      <c r="C56" s="13">
        <f t="shared" si="3"/>
        <v>45046</v>
      </c>
      <c r="D56" s="14">
        <f>'Income Tracker Data'!V54</f>
        <v>0</v>
      </c>
      <c r="E56" s="15">
        <f>'Expense Tracker Data'!V54</f>
        <v>0</v>
      </c>
      <c r="F56" s="15">
        <f t="shared" si="1"/>
        <v>0</v>
      </c>
      <c r="G56" s="15" t="str">
        <f>IF(AND(D56&gt;0,E56&gt;0),G55+Bottom_Line_Table[[#This Row],[Difference]],"N/A")</f>
        <v>N/A</v>
      </c>
    </row>
    <row r="57" spans="2:7" x14ac:dyDescent="0.3">
      <c r="B57" s="12">
        <v>45047</v>
      </c>
      <c r="C57" s="13">
        <f t="shared" si="3"/>
        <v>45077</v>
      </c>
      <c r="D57" s="14">
        <f>'Income Tracker Data'!V55</f>
        <v>0</v>
      </c>
      <c r="E57" s="15">
        <f>'Expense Tracker Data'!V55</f>
        <v>0</v>
      </c>
      <c r="F57" s="15">
        <f t="shared" si="1"/>
        <v>0</v>
      </c>
      <c r="G57" s="15" t="str">
        <f>IF(AND(D57&gt;0,E57&gt;0),G56+Bottom_Line_Table[[#This Row],[Difference]],"N/A")</f>
        <v>N/A</v>
      </c>
    </row>
    <row r="58" spans="2:7" x14ac:dyDescent="0.3">
      <c r="B58" s="12">
        <v>45078</v>
      </c>
      <c r="C58" s="13">
        <f t="shared" si="3"/>
        <v>45107</v>
      </c>
      <c r="D58" s="14">
        <f>'Income Tracker Data'!V56</f>
        <v>0</v>
      </c>
      <c r="E58" s="15">
        <f>'Expense Tracker Data'!V56</f>
        <v>0</v>
      </c>
      <c r="F58" s="15">
        <f t="shared" si="1"/>
        <v>0</v>
      </c>
      <c r="G58" s="15" t="str">
        <f>IF(AND(D58&gt;0,E58&gt;0),G57+Bottom_Line_Table[[#This Row],[Difference]],"N/A")</f>
        <v>N/A</v>
      </c>
    </row>
    <row r="59" spans="2:7" x14ac:dyDescent="0.3">
      <c r="B59" s="12">
        <v>45108</v>
      </c>
      <c r="C59" s="13">
        <f t="shared" si="3"/>
        <v>45138</v>
      </c>
      <c r="D59" s="14">
        <f>'Income Tracker Data'!V57</f>
        <v>0</v>
      </c>
      <c r="E59" s="15">
        <f>'Expense Tracker Data'!V57</f>
        <v>0</v>
      </c>
      <c r="F59" s="15">
        <f t="shared" si="1"/>
        <v>0</v>
      </c>
      <c r="G59" s="15" t="str">
        <f>IF(AND(D59&gt;0,E59&gt;0),G58+Bottom_Line_Table[[#This Row],[Difference]],"N/A")</f>
        <v>N/A</v>
      </c>
    </row>
    <row r="60" spans="2:7" x14ac:dyDescent="0.3">
      <c r="B60" s="12">
        <v>45139</v>
      </c>
      <c r="C60" s="13">
        <f t="shared" si="3"/>
        <v>45169</v>
      </c>
      <c r="D60" s="14">
        <f>'Income Tracker Data'!V58</f>
        <v>0</v>
      </c>
      <c r="E60" s="15">
        <f>'Expense Tracker Data'!V58</f>
        <v>0</v>
      </c>
      <c r="F60" s="15">
        <f t="shared" si="1"/>
        <v>0</v>
      </c>
      <c r="G60" s="15" t="str">
        <f>IF(AND(D60&gt;0,E60&gt;0),G59+Bottom_Line_Table[[#This Row],[Difference]],"N/A")</f>
        <v>N/A</v>
      </c>
    </row>
    <row r="61" spans="2:7" x14ac:dyDescent="0.3">
      <c r="B61" s="12">
        <v>45170</v>
      </c>
      <c r="C61" s="13">
        <f t="shared" si="3"/>
        <v>45199</v>
      </c>
      <c r="D61" s="14">
        <f>'Income Tracker Data'!V59</f>
        <v>0</v>
      </c>
      <c r="E61" s="15">
        <f>'Expense Tracker Data'!V59</f>
        <v>0</v>
      </c>
      <c r="F61" s="15">
        <f t="shared" si="1"/>
        <v>0</v>
      </c>
      <c r="G61" s="15" t="str">
        <f>IF(AND(D61&gt;0,E61&gt;0),G60+Bottom_Line_Table[[#This Row],[Difference]],"N/A")</f>
        <v>N/A</v>
      </c>
    </row>
    <row r="62" spans="2:7" x14ac:dyDescent="0.3">
      <c r="B62" s="12">
        <v>45200</v>
      </c>
      <c r="C62" s="13">
        <f t="shared" si="3"/>
        <v>45230</v>
      </c>
      <c r="D62" s="14">
        <f>'Income Tracker Data'!V60</f>
        <v>0</v>
      </c>
      <c r="E62" s="15">
        <f>'Expense Tracker Data'!V60</f>
        <v>0</v>
      </c>
      <c r="F62" s="15">
        <f t="shared" si="1"/>
        <v>0</v>
      </c>
      <c r="G62" s="15" t="str">
        <f>IF(AND(D62&gt;0,E62&gt;0),G61+Bottom_Line_Table[[#This Row],[Difference]],"N/A")</f>
        <v>N/A</v>
      </c>
    </row>
    <row r="63" spans="2:7" x14ac:dyDescent="0.3">
      <c r="B63" s="12">
        <v>45231</v>
      </c>
      <c r="C63" s="13">
        <f t="shared" si="3"/>
        <v>45260</v>
      </c>
      <c r="D63" s="14">
        <f>'Income Tracker Data'!V61</f>
        <v>0</v>
      </c>
      <c r="E63" s="15">
        <f>'Expense Tracker Data'!V61</f>
        <v>0</v>
      </c>
      <c r="F63" s="15">
        <f t="shared" si="1"/>
        <v>0</v>
      </c>
      <c r="G63" s="15" t="str">
        <f>IF(AND(D63&gt;0,E63&gt;0),G62+Bottom_Line_Table[[#This Row],[Difference]],"N/A")</f>
        <v>N/A</v>
      </c>
    </row>
    <row r="64" spans="2:7" x14ac:dyDescent="0.3">
      <c r="B64" s="12">
        <v>45261</v>
      </c>
      <c r="C64" s="13">
        <f t="shared" si="3"/>
        <v>45291</v>
      </c>
      <c r="D64" s="14">
        <f>'Income Tracker Data'!V62</f>
        <v>0</v>
      </c>
      <c r="E64" s="15">
        <f>'Expense Tracker Data'!V62</f>
        <v>0</v>
      </c>
      <c r="F64" s="15">
        <f t="shared" si="1"/>
        <v>0</v>
      </c>
      <c r="G64" s="15" t="str">
        <f>IF(AND(D64&gt;0,E64&gt;0),G63+Bottom_Line_Table[[#This Row],[Difference]],"N/A")</f>
        <v>N/A</v>
      </c>
    </row>
    <row r="65" spans="2:7" x14ac:dyDescent="0.3">
      <c r="B65" s="12">
        <v>45292</v>
      </c>
      <c r="C65" s="13">
        <f t="shared" si="3"/>
        <v>45322</v>
      </c>
      <c r="D65" s="14">
        <f>'Income Tracker Data'!V63</f>
        <v>0</v>
      </c>
      <c r="E65" s="15">
        <f>'Expense Tracker Data'!V63</f>
        <v>0</v>
      </c>
      <c r="F65" s="15">
        <f t="shared" si="1"/>
        <v>0</v>
      </c>
      <c r="G65" s="15" t="str">
        <f>IF(AND(D65&gt;0,E65&gt;0),G64+Bottom_Line_Table[[#This Row],[Difference]],"N/A")</f>
        <v>N/A</v>
      </c>
    </row>
    <row r="66" spans="2:7" x14ac:dyDescent="0.3">
      <c r="B66" s="12">
        <v>45323</v>
      </c>
      <c r="C66" s="13">
        <f t="shared" si="3"/>
        <v>45351</v>
      </c>
      <c r="D66" s="14">
        <f>'Income Tracker Data'!V64</f>
        <v>0</v>
      </c>
      <c r="E66" s="15">
        <f>'Expense Tracker Data'!V64</f>
        <v>0</v>
      </c>
      <c r="F66" s="15">
        <f t="shared" si="1"/>
        <v>0</v>
      </c>
      <c r="G66" s="15" t="str">
        <f>IF(AND(D66&gt;0,E66&gt;0),G65+Bottom_Line_Table[[#This Row],[Difference]],"N/A")</f>
        <v>N/A</v>
      </c>
    </row>
    <row r="67" spans="2:7" x14ac:dyDescent="0.3">
      <c r="B67" s="12">
        <v>45352</v>
      </c>
      <c r="C67" s="13">
        <f t="shared" si="3"/>
        <v>45382</v>
      </c>
      <c r="D67" s="14">
        <f>'Income Tracker Data'!V65</f>
        <v>0</v>
      </c>
      <c r="E67" s="15">
        <f>'Expense Tracker Data'!V65</f>
        <v>0</v>
      </c>
      <c r="F67" s="15">
        <f t="shared" si="1"/>
        <v>0</v>
      </c>
      <c r="G67" s="15" t="str">
        <f>IF(AND(D67&gt;0,E67&gt;0),G66+Bottom_Line_Table[[#This Row],[Difference]],"N/A")</f>
        <v>N/A</v>
      </c>
    </row>
    <row r="68" spans="2:7" x14ac:dyDescent="0.3">
      <c r="B68" s="12">
        <v>45383</v>
      </c>
      <c r="C68" s="13">
        <f t="shared" si="3"/>
        <v>45412</v>
      </c>
      <c r="D68" s="14">
        <f>'Income Tracker Data'!V66</f>
        <v>0</v>
      </c>
      <c r="E68" s="15">
        <f>'Expense Tracker Data'!V66</f>
        <v>0</v>
      </c>
      <c r="F68" s="15">
        <f t="shared" si="1"/>
        <v>0</v>
      </c>
      <c r="G68" s="15" t="str">
        <f>IF(AND(D68&gt;0,E68&gt;0),G67+Bottom_Line_Table[[#This Row],[Difference]],"N/A")</f>
        <v>N/A</v>
      </c>
    </row>
    <row r="69" spans="2:7" x14ac:dyDescent="0.3">
      <c r="B69" s="12">
        <v>45413</v>
      </c>
      <c r="C69" s="13">
        <f t="shared" si="3"/>
        <v>45443</v>
      </c>
      <c r="D69" s="14">
        <f>'Income Tracker Data'!V67</f>
        <v>0</v>
      </c>
      <c r="E69" s="15">
        <f>'Expense Tracker Data'!V67</f>
        <v>0</v>
      </c>
      <c r="F69" s="15">
        <f t="shared" si="1"/>
        <v>0</v>
      </c>
      <c r="G69" s="15" t="str">
        <f>IF(AND(D69&gt;0,E69&gt;0),G68+Bottom_Line_Table[[#This Row],[Difference]],"N/A")</f>
        <v>N/A</v>
      </c>
    </row>
    <row r="70" spans="2:7" x14ac:dyDescent="0.3">
      <c r="B70" s="12">
        <v>45444</v>
      </c>
      <c r="C70" s="13">
        <f t="shared" si="3"/>
        <v>45473</v>
      </c>
      <c r="D70" s="14">
        <f>'Income Tracker Data'!V68</f>
        <v>0</v>
      </c>
      <c r="E70" s="15">
        <f>'Expense Tracker Data'!V68</f>
        <v>0</v>
      </c>
      <c r="F70" s="15">
        <f t="shared" ref="F70:F133" si="4">D70-E70</f>
        <v>0</v>
      </c>
      <c r="G70" s="15" t="str">
        <f>IF(AND(D70&gt;0,E70&gt;0),G69+Bottom_Line_Table[[#This Row],[Difference]],"N/A")</f>
        <v>N/A</v>
      </c>
    </row>
    <row r="71" spans="2:7" x14ac:dyDescent="0.3">
      <c r="B71" s="12">
        <v>45474</v>
      </c>
      <c r="C71" s="13">
        <f t="shared" si="3"/>
        <v>45504</v>
      </c>
      <c r="D71" s="14">
        <f>'Income Tracker Data'!V69</f>
        <v>0</v>
      </c>
      <c r="E71" s="15">
        <f>'Expense Tracker Data'!V69</f>
        <v>0</v>
      </c>
      <c r="F71" s="15">
        <f t="shared" si="4"/>
        <v>0</v>
      </c>
      <c r="G71" s="15" t="str">
        <f>IF(AND(D71&gt;0,E71&gt;0),G70+Bottom_Line_Table[[#This Row],[Difference]],"N/A")</f>
        <v>N/A</v>
      </c>
    </row>
    <row r="72" spans="2:7" x14ac:dyDescent="0.3">
      <c r="B72" s="12">
        <v>45505</v>
      </c>
      <c r="C72" s="13">
        <f t="shared" si="3"/>
        <v>45535</v>
      </c>
      <c r="D72" s="14">
        <f>'Income Tracker Data'!V70</f>
        <v>0</v>
      </c>
      <c r="E72" s="15">
        <f>'Expense Tracker Data'!V70</f>
        <v>0</v>
      </c>
      <c r="F72" s="15">
        <f t="shared" si="4"/>
        <v>0</v>
      </c>
      <c r="G72" s="15" t="str">
        <f>IF(AND(D72&gt;0,E72&gt;0),G71+Bottom_Line_Table[[#This Row],[Difference]],"N/A")</f>
        <v>N/A</v>
      </c>
    </row>
    <row r="73" spans="2:7" x14ac:dyDescent="0.3">
      <c r="B73" s="12">
        <v>45536</v>
      </c>
      <c r="C73" s="13">
        <f t="shared" si="3"/>
        <v>45565</v>
      </c>
      <c r="D73" s="14">
        <f>'Income Tracker Data'!V71</f>
        <v>0</v>
      </c>
      <c r="E73" s="15">
        <f>'Expense Tracker Data'!V71</f>
        <v>0</v>
      </c>
      <c r="F73" s="15">
        <f t="shared" si="4"/>
        <v>0</v>
      </c>
      <c r="G73" s="15" t="str">
        <f>IF(AND(D73&gt;0,E73&gt;0),G72+Bottom_Line_Table[[#This Row],[Difference]],"N/A")</f>
        <v>N/A</v>
      </c>
    </row>
    <row r="74" spans="2:7" x14ac:dyDescent="0.3">
      <c r="B74" s="12">
        <v>45566</v>
      </c>
      <c r="C74" s="13">
        <f t="shared" si="3"/>
        <v>45596</v>
      </c>
      <c r="D74" s="14">
        <f>'Income Tracker Data'!V72</f>
        <v>0</v>
      </c>
      <c r="E74" s="15">
        <f>'Expense Tracker Data'!V72</f>
        <v>0</v>
      </c>
      <c r="F74" s="15">
        <f t="shared" si="4"/>
        <v>0</v>
      </c>
      <c r="G74" s="15" t="str">
        <f>IF(AND(D74&gt;0,E74&gt;0),G73+Bottom_Line_Table[[#This Row],[Difference]],"N/A")</f>
        <v>N/A</v>
      </c>
    </row>
    <row r="75" spans="2:7" x14ac:dyDescent="0.3">
      <c r="B75" s="12">
        <v>45597</v>
      </c>
      <c r="C75" s="13">
        <f t="shared" ref="C75:C138" si="5">EOMONTH(B75,0)</f>
        <v>45626</v>
      </c>
      <c r="D75" s="14">
        <f>'Income Tracker Data'!V73</f>
        <v>0</v>
      </c>
      <c r="E75" s="15">
        <f>'Expense Tracker Data'!V73</f>
        <v>0</v>
      </c>
      <c r="F75" s="15">
        <f t="shared" si="4"/>
        <v>0</v>
      </c>
      <c r="G75" s="15" t="str">
        <f>IF(AND(D75&gt;0,E75&gt;0),G74+Bottom_Line_Table[[#This Row],[Difference]],"N/A")</f>
        <v>N/A</v>
      </c>
    </row>
    <row r="76" spans="2:7" x14ac:dyDescent="0.3">
      <c r="B76" s="12">
        <v>45627</v>
      </c>
      <c r="C76" s="13">
        <f t="shared" si="5"/>
        <v>45657</v>
      </c>
      <c r="D76" s="14">
        <f>'Income Tracker Data'!V74</f>
        <v>0</v>
      </c>
      <c r="E76" s="15">
        <f>'Expense Tracker Data'!V74</f>
        <v>0</v>
      </c>
      <c r="F76" s="15">
        <f t="shared" si="4"/>
        <v>0</v>
      </c>
      <c r="G76" s="15" t="str">
        <f>IF(AND(D76&gt;0,E76&gt;0),G75+Bottom_Line_Table[[#This Row],[Difference]],"N/A")</f>
        <v>N/A</v>
      </c>
    </row>
    <row r="77" spans="2:7" x14ac:dyDescent="0.3">
      <c r="B77" s="12">
        <v>45658</v>
      </c>
      <c r="C77" s="13">
        <f t="shared" si="5"/>
        <v>45688</v>
      </c>
      <c r="D77" s="14">
        <f>'Income Tracker Data'!V75</f>
        <v>0</v>
      </c>
      <c r="E77" s="15">
        <f>'Expense Tracker Data'!V75</f>
        <v>0</v>
      </c>
      <c r="F77" s="15">
        <f t="shared" si="4"/>
        <v>0</v>
      </c>
      <c r="G77" s="15" t="str">
        <f>IF(AND(D77&gt;0,E77&gt;0),G76+Bottom_Line_Table[[#This Row],[Difference]],"N/A")</f>
        <v>N/A</v>
      </c>
    </row>
    <row r="78" spans="2:7" x14ac:dyDescent="0.3">
      <c r="B78" s="12">
        <v>45689</v>
      </c>
      <c r="C78" s="13">
        <f t="shared" si="5"/>
        <v>45716</v>
      </c>
      <c r="D78" s="14">
        <f>'Income Tracker Data'!V76</f>
        <v>0</v>
      </c>
      <c r="E78" s="15">
        <f>'Expense Tracker Data'!V76</f>
        <v>0</v>
      </c>
      <c r="F78" s="15">
        <f t="shared" si="4"/>
        <v>0</v>
      </c>
      <c r="G78" s="15" t="str">
        <f>IF(AND(D78&gt;0,E78&gt;0),G77+Bottom_Line_Table[[#This Row],[Difference]],"N/A")</f>
        <v>N/A</v>
      </c>
    </row>
    <row r="79" spans="2:7" x14ac:dyDescent="0.3">
      <c r="B79" s="12">
        <v>45717</v>
      </c>
      <c r="C79" s="13">
        <f t="shared" si="5"/>
        <v>45747</v>
      </c>
      <c r="D79" s="14">
        <f>'Income Tracker Data'!V77</f>
        <v>0</v>
      </c>
      <c r="E79" s="15">
        <f>'Expense Tracker Data'!V77</f>
        <v>0</v>
      </c>
      <c r="F79" s="15">
        <f t="shared" si="4"/>
        <v>0</v>
      </c>
      <c r="G79" s="15" t="str">
        <f>IF(AND(D79&gt;0,E79&gt;0),G78+Bottom_Line_Table[[#This Row],[Difference]],"N/A")</f>
        <v>N/A</v>
      </c>
    </row>
    <row r="80" spans="2:7" x14ac:dyDescent="0.3">
      <c r="B80" s="12">
        <v>45748</v>
      </c>
      <c r="C80" s="13">
        <f t="shared" si="5"/>
        <v>45777</v>
      </c>
      <c r="D80" s="14">
        <f>'Income Tracker Data'!V78</f>
        <v>0</v>
      </c>
      <c r="E80" s="15">
        <f>'Expense Tracker Data'!V78</f>
        <v>0</v>
      </c>
      <c r="F80" s="15">
        <f t="shared" si="4"/>
        <v>0</v>
      </c>
      <c r="G80" s="15" t="str">
        <f>IF(AND(D80&gt;0,E80&gt;0),G79+Bottom_Line_Table[[#This Row],[Difference]],"N/A")</f>
        <v>N/A</v>
      </c>
    </row>
    <row r="81" spans="2:7" x14ac:dyDescent="0.3">
      <c r="B81" s="12">
        <v>45778</v>
      </c>
      <c r="C81" s="13">
        <f t="shared" si="5"/>
        <v>45808</v>
      </c>
      <c r="D81" s="14">
        <f>'Income Tracker Data'!V79</f>
        <v>0</v>
      </c>
      <c r="E81" s="15">
        <f>'Expense Tracker Data'!V79</f>
        <v>0</v>
      </c>
      <c r="F81" s="15">
        <f t="shared" si="4"/>
        <v>0</v>
      </c>
      <c r="G81" s="15" t="str">
        <f>IF(AND(D81&gt;0,E81&gt;0),G80+Bottom_Line_Table[[#This Row],[Difference]],"N/A")</f>
        <v>N/A</v>
      </c>
    </row>
    <row r="82" spans="2:7" x14ac:dyDescent="0.3">
      <c r="B82" s="12">
        <v>45809</v>
      </c>
      <c r="C82" s="13">
        <f t="shared" si="5"/>
        <v>45838</v>
      </c>
      <c r="D82" s="14">
        <f>'Income Tracker Data'!V80</f>
        <v>0</v>
      </c>
      <c r="E82" s="15">
        <f>'Expense Tracker Data'!V80</f>
        <v>0</v>
      </c>
      <c r="F82" s="15">
        <f t="shared" si="4"/>
        <v>0</v>
      </c>
      <c r="G82" s="15" t="str">
        <f>IF(AND(D82&gt;0,E82&gt;0),G81+Bottom_Line_Table[[#This Row],[Difference]],"N/A")</f>
        <v>N/A</v>
      </c>
    </row>
    <row r="83" spans="2:7" x14ac:dyDescent="0.3">
      <c r="B83" s="12">
        <v>45839</v>
      </c>
      <c r="C83" s="13">
        <f t="shared" si="5"/>
        <v>45869</v>
      </c>
      <c r="D83" s="14">
        <f>'Income Tracker Data'!V81</f>
        <v>0</v>
      </c>
      <c r="E83" s="15">
        <f>'Expense Tracker Data'!V81</f>
        <v>0</v>
      </c>
      <c r="F83" s="15">
        <f t="shared" si="4"/>
        <v>0</v>
      </c>
      <c r="G83" s="15" t="str">
        <f>IF(AND(D83&gt;0,E83&gt;0),G82+Bottom_Line_Table[[#This Row],[Difference]],"N/A")</f>
        <v>N/A</v>
      </c>
    </row>
    <row r="84" spans="2:7" x14ac:dyDescent="0.3">
      <c r="B84" s="12">
        <v>45870</v>
      </c>
      <c r="C84" s="13">
        <f t="shared" si="5"/>
        <v>45900</v>
      </c>
      <c r="D84" s="14">
        <f>'Income Tracker Data'!V82</f>
        <v>0</v>
      </c>
      <c r="E84" s="15">
        <f>'Expense Tracker Data'!V82</f>
        <v>0</v>
      </c>
      <c r="F84" s="15">
        <f t="shared" si="4"/>
        <v>0</v>
      </c>
      <c r="G84" s="15" t="str">
        <f>IF(AND(D84&gt;0,E84&gt;0),G83+Bottom_Line_Table[[#This Row],[Difference]],"N/A")</f>
        <v>N/A</v>
      </c>
    </row>
    <row r="85" spans="2:7" x14ac:dyDescent="0.3">
      <c r="B85" s="12">
        <v>45901</v>
      </c>
      <c r="C85" s="13">
        <f t="shared" si="5"/>
        <v>45930</v>
      </c>
      <c r="D85" s="14">
        <f>'Income Tracker Data'!V83</f>
        <v>0</v>
      </c>
      <c r="E85" s="15">
        <f>'Expense Tracker Data'!V83</f>
        <v>0</v>
      </c>
      <c r="F85" s="15">
        <f t="shared" si="4"/>
        <v>0</v>
      </c>
      <c r="G85" s="15" t="str">
        <f>IF(AND(D85&gt;0,E85&gt;0),G84+Bottom_Line_Table[[#This Row],[Difference]],"N/A")</f>
        <v>N/A</v>
      </c>
    </row>
    <row r="86" spans="2:7" x14ac:dyDescent="0.3">
      <c r="B86" s="12">
        <v>45931</v>
      </c>
      <c r="C86" s="13">
        <f t="shared" si="5"/>
        <v>45961</v>
      </c>
      <c r="D86" s="14">
        <f>'Income Tracker Data'!V84</f>
        <v>0</v>
      </c>
      <c r="E86" s="15">
        <f>'Expense Tracker Data'!V84</f>
        <v>0</v>
      </c>
      <c r="F86" s="15">
        <f t="shared" si="4"/>
        <v>0</v>
      </c>
      <c r="G86" s="15" t="str">
        <f>IF(AND(D86&gt;0,E86&gt;0),G85+Bottom_Line_Table[[#This Row],[Difference]],"N/A")</f>
        <v>N/A</v>
      </c>
    </row>
    <row r="87" spans="2:7" x14ac:dyDescent="0.3">
      <c r="B87" s="12">
        <v>45962</v>
      </c>
      <c r="C87" s="13">
        <f t="shared" si="5"/>
        <v>45991</v>
      </c>
      <c r="D87" s="14">
        <f>'Income Tracker Data'!V85</f>
        <v>0</v>
      </c>
      <c r="E87" s="15">
        <f>'Expense Tracker Data'!V85</f>
        <v>0</v>
      </c>
      <c r="F87" s="15">
        <f t="shared" si="4"/>
        <v>0</v>
      </c>
      <c r="G87" s="15" t="str">
        <f>IF(AND(D87&gt;0,E87&gt;0),G86+Bottom_Line_Table[[#This Row],[Difference]],"N/A")</f>
        <v>N/A</v>
      </c>
    </row>
    <row r="88" spans="2:7" x14ac:dyDescent="0.3">
      <c r="B88" s="12">
        <v>45992</v>
      </c>
      <c r="C88" s="13">
        <f t="shared" si="5"/>
        <v>46022</v>
      </c>
      <c r="D88" s="14">
        <f>'Income Tracker Data'!V86</f>
        <v>0</v>
      </c>
      <c r="E88" s="15">
        <f>'Expense Tracker Data'!V86</f>
        <v>0</v>
      </c>
      <c r="F88" s="15">
        <f t="shared" si="4"/>
        <v>0</v>
      </c>
      <c r="G88" s="15" t="str">
        <f>IF(AND(D88&gt;0,E88&gt;0),G87+Bottom_Line_Table[[#This Row],[Difference]],"N/A")</f>
        <v>N/A</v>
      </c>
    </row>
    <row r="89" spans="2:7" x14ac:dyDescent="0.3">
      <c r="B89" s="12">
        <v>46023</v>
      </c>
      <c r="C89" s="13">
        <f t="shared" si="5"/>
        <v>46053</v>
      </c>
      <c r="D89" s="14">
        <f>'Income Tracker Data'!V87</f>
        <v>0</v>
      </c>
      <c r="E89" s="15">
        <f>'Expense Tracker Data'!V87</f>
        <v>0</v>
      </c>
      <c r="F89" s="15">
        <f t="shared" si="4"/>
        <v>0</v>
      </c>
      <c r="G89" s="15" t="str">
        <f>IF(AND(D89&gt;0,E89&gt;0),G88+Bottom_Line_Table[[#This Row],[Difference]],"N/A")</f>
        <v>N/A</v>
      </c>
    </row>
    <row r="90" spans="2:7" x14ac:dyDescent="0.3">
      <c r="B90" s="12">
        <v>46054</v>
      </c>
      <c r="C90" s="13">
        <f t="shared" si="5"/>
        <v>46081</v>
      </c>
      <c r="D90" s="14">
        <f>'Income Tracker Data'!V88</f>
        <v>0</v>
      </c>
      <c r="E90" s="15">
        <f>'Expense Tracker Data'!V88</f>
        <v>0</v>
      </c>
      <c r="F90" s="15">
        <f t="shared" si="4"/>
        <v>0</v>
      </c>
      <c r="G90" s="15" t="str">
        <f>IF(AND(D90&gt;0,E90&gt;0),G89+Bottom_Line_Table[[#This Row],[Difference]],"N/A")</f>
        <v>N/A</v>
      </c>
    </row>
    <row r="91" spans="2:7" x14ac:dyDescent="0.3">
      <c r="B91" s="12">
        <v>46082</v>
      </c>
      <c r="C91" s="13">
        <f t="shared" si="5"/>
        <v>46112</v>
      </c>
      <c r="D91" s="14">
        <f>'Income Tracker Data'!V89</f>
        <v>0</v>
      </c>
      <c r="E91" s="15">
        <f>'Expense Tracker Data'!V89</f>
        <v>0</v>
      </c>
      <c r="F91" s="15">
        <f t="shared" si="4"/>
        <v>0</v>
      </c>
      <c r="G91" s="15" t="str">
        <f>IF(AND(D91&gt;0,E91&gt;0),G90+Bottom_Line_Table[[#This Row],[Difference]],"N/A")</f>
        <v>N/A</v>
      </c>
    </row>
    <row r="92" spans="2:7" x14ac:dyDescent="0.3">
      <c r="B92" s="12">
        <v>46113</v>
      </c>
      <c r="C92" s="13">
        <f t="shared" si="5"/>
        <v>46142</v>
      </c>
      <c r="D92" s="14">
        <f>'Income Tracker Data'!V90</f>
        <v>0</v>
      </c>
      <c r="E92" s="15">
        <f>'Expense Tracker Data'!V90</f>
        <v>0</v>
      </c>
      <c r="F92" s="15">
        <f t="shared" si="4"/>
        <v>0</v>
      </c>
      <c r="G92" s="15" t="str">
        <f>IF(AND(D92&gt;0,E92&gt;0),G91+Bottom_Line_Table[[#This Row],[Difference]],"N/A")</f>
        <v>N/A</v>
      </c>
    </row>
    <row r="93" spans="2:7" x14ac:dyDescent="0.3">
      <c r="B93" s="12">
        <v>46143</v>
      </c>
      <c r="C93" s="13">
        <f t="shared" si="5"/>
        <v>46173</v>
      </c>
      <c r="D93" s="14">
        <f>'Income Tracker Data'!V91</f>
        <v>0</v>
      </c>
      <c r="E93" s="15">
        <f>'Expense Tracker Data'!V91</f>
        <v>0</v>
      </c>
      <c r="F93" s="15">
        <f t="shared" si="4"/>
        <v>0</v>
      </c>
      <c r="G93" s="15" t="str">
        <f>IF(AND(D93&gt;0,E93&gt;0),G92+Bottom_Line_Table[[#This Row],[Difference]],"N/A")</f>
        <v>N/A</v>
      </c>
    </row>
    <row r="94" spans="2:7" x14ac:dyDescent="0.3">
      <c r="B94" s="12">
        <v>46174</v>
      </c>
      <c r="C94" s="13">
        <f t="shared" si="5"/>
        <v>46203</v>
      </c>
      <c r="D94" s="14">
        <f>'Income Tracker Data'!V92</f>
        <v>0</v>
      </c>
      <c r="E94" s="15">
        <f>'Expense Tracker Data'!V92</f>
        <v>0</v>
      </c>
      <c r="F94" s="15">
        <f t="shared" si="4"/>
        <v>0</v>
      </c>
      <c r="G94" s="15" t="str">
        <f>IF(AND(D94&gt;0,E94&gt;0),G93+Bottom_Line_Table[[#This Row],[Difference]],"N/A")</f>
        <v>N/A</v>
      </c>
    </row>
    <row r="95" spans="2:7" x14ac:dyDescent="0.3">
      <c r="B95" s="12">
        <v>46204</v>
      </c>
      <c r="C95" s="13">
        <f t="shared" si="5"/>
        <v>46234</v>
      </c>
      <c r="D95" s="14">
        <f>'Income Tracker Data'!V93</f>
        <v>0</v>
      </c>
      <c r="E95" s="15">
        <f>'Expense Tracker Data'!V93</f>
        <v>0</v>
      </c>
      <c r="F95" s="15">
        <f t="shared" si="4"/>
        <v>0</v>
      </c>
      <c r="G95" s="15" t="str">
        <f>IF(AND(D95&gt;0,E95&gt;0),G94+Bottom_Line_Table[[#This Row],[Difference]],"N/A")</f>
        <v>N/A</v>
      </c>
    </row>
    <row r="96" spans="2:7" x14ac:dyDescent="0.3">
      <c r="B96" s="12">
        <v>46235</v>
      </c>
      <c r="C96" s="13">
        <f t="shared" si="5"/>
        <v>46265</v>
      </c>
      <c r="D96" s="14">
        <f>'Income Tracker Data'!V94</f>
        <v>0</v>
      </c>
      <c r="E96" s="15">
        <f>'Expense Tracker Data'!V94</f>
        <v>0</v>
      </c>
      <c r="F96" s="15">
        <f t="shared" si="4"/>
        <v>0</v>
      </c>
      <c r="G96" s="15" t="str">
        <f>IF(AND(D96&gt;0,E96&gt;0),G95+Bottom_Line_Table[[#This Row],[Difference]],"N/A")</f>
        <v>N/A</v>
      </c>
    </row>
    <row r="97" spans="2:7" x14ac:dyDescent="0.3">
      <c r="B97" s="12">
        <v>46266</v>
      </c>
      <c r="C97" s="13">
        <f t="shared" si="5"/>
        <v>46295</v>
      </c>
      <c r="D97" s="14">
        <f>'Income Tracker Data'!V95</f>
        <v>0</v>
      </c>
      <c r="E97" s="15">
        <f>'Expense Tracker Data'!V95</f>
        <v>0</v>
      </c>
      <c r="F97" s="15">
        <f t="shared" si="4"/>
        <v>0</v>
      </c>
      <c r="G97" s="15" t="str">
        <f>IF(AND(D97&gt;0,E97&gt;0),G96+Bottom_Line_Table[[#This Row],[Difference]],"N/A")</f>
        <v>N/A</v>
      </c>
    </row>
    <row r="98" spans="2:7" x14ac:dyDescent="0.3">
      <c r="B98" s="12">
        <v>46296</v>
      </c>
      <c r="C98" s="13">
        <f t="shared" si="5"/>
        <v>46326</v>
      </c>
      <c r="D98" s="14">
        <f>'Income Tracker Data'!V96</f>
        <v>0</v>
      </c>
      <c r="E98" s="15">
        <f>'Expense Tracker Data'!V96</f>
        <v>0</v>
      </c>
      <c r="F98" s="15">
        <f t="shared" si="4"/>
        <v>0</v>
      </c>
      <c r="G98" s="15" t="str">
        <f>IF(AND(D98&gt;0,E98&gt;0),G97+Bottom_Line_Table[[#This Row],[Difference]],"N/A")</f>
        <v>N/A</v>
      </c>
    </row>
    <row r="99" spans="2:7" x14ac:dyDescent="0.3">
      <c r="B99" s="12">
        <v>46327</v>
      </c>
      <c r="C99" s="13">
        <f t="shared" si="5"/>
        <v>46356</v>
      </c>
      <c r="D99" s="14">
        <f>'Income Tracker Data'!V97</f>
        <v>0</v>
      </c>
      <c r="E99" s="15">
        <f>'Expense Tracker Data'!V97</f>
        <v>0</v>
      </c>
      <c r="F99" s="15">
        <f t="shared" si="4"/>
        <v>0</v>
      </c>
      <c r="G99" s="15" t="str">
        <f>IF(AND(D99&gt;0,E99&gt;0),G98+Bottom_Line_Table[[#This Row],[Difference]],"N/A")</f>
        <v>N/A</v>
      </c>
    </row>
    <row r="100" spans="2:7" x14ac:dyDescent="0.3">
      <c r="B100" s="12">
        <v>46357</v>
      </c>
      <c r="C100" s="13">
        <f t="shared" si="5"/>
        <v>46387</v>
      </c>
      <c r="D100" s="14">
        <f>'Income Tracker Data'!V98</f>
        <v>0</v>
      </c>
      <c r="E100" s="15">
        <f>'Expense Tracker Data'!V98</f>
        <v>0</v>
      </c>
      <c r="F100" s="15">
        <f t="shared" si="4"/>
        <v>0</v>
      </c>
      <c r="G100" s="15" t="str">
        <f>IF(AND(D100&gt;0,E100&gt;0),G99+Bottom_Line_Table[[#This Row],[Difference]],"N/A")</f>
        <v>N/A</v>
      </c>
    </row>
    <row r="101" spans="2:7" x14ac:dyDescent="0.3">
      <c r="B101" s="12">
        <v>46388</v>
      </c>
      <c r="C101" s="13">
        <f t="shared" si="5"/>
        <v>46418</v>
      </c>
      <c r="D101" s="14">
        <f>'Income Tracker Data'!V99</f>
        <v>0</v>
      </c>
      <c r="E101" s="15">
        <f>'Expense Tracker Data'!V99</f>
        <v>0</v>
      </c>
      <c r="F101" s="15">
        <f t="shared" si="4"/>
        <v>0</v>
      </c>
      <c r="G101" s="15" t="str">
        <f>IF(AND(D101&gt;0,E101&gt;0),G100+Bottom_Line_Table[[#This Row],[Difference]],"N/A")</f>
        <v>N/A</v>
      </c>
    </row>
    <row r="102" spans="2:7" x14ac:dyDescent="0.3">
      <c r="B102" s="12">
        <v>46419</v>
      </c>
      <c r="C102" s="13">
        <f t="shared" si="5"/>
        <v>46446</v>
      </c>
      <c r="D102" s="14">
        <f>'Income Tracker Data'!V100</f>
        <v>0</v>
      </c>
      <c r="E102" s="15">
        <f>'Expense Tracker Data'!V100</f>
        <v>0</v>
      </c>
      <c r="F102" s="15">
        <f t="shared" si="4"/>
        <v>0</v>
      </c>
      <c r="G102" s="15" t="str">
        <f>IF(AND(D102&gt;0,E102&gt;0),G101+Bottom_Line_Table[[#This Row],[Difference]],"N/A")</f>
        <v>N/A</v>
      </c>
    </row>
    <row r="103" spans="2:7" x14ac:dyDescent="0.3">
      <c r="B103" s="12">
        <v>46447</v>
      </c>
      <c r="C103" s="13">
        <f t="shared" si="5"/>
        <v>46477</v>
      </c>
      <c r="D103" s="14">
        <f>'Income Tracker Data'!V101</f>
        <v>0</v>
      </c>
      <c r="E103" s="15">
        <f>'Expense Tracker Data'!V101</f>
        <v>0</v>
      </c>
      <c r="F103" s="15">
        <f t="shared" si="4"/>
        <v>0</v>
      </c>
      <c r="G103" s="15" t="str">
        <f>IF(AND(D103&gt;0,E103&gt;0),G102+Bottom_Line_Table[[#This Row],[Difference]],"N/A")</f>
        <v>N/A</v>
      </c>
    </row>
    <row r="104" spans="2:7" x14ac:dyDescent="0.3">
      <c r="B104" s="12">
        <v>46478</v>
      </c>
      <c r="C104" s="13">
        <f t="shared" si="5"/>
        <v>46507</v>
      </c>
      <c r="D104" s="14">
        <f>'Income Tracker Data'!V102</f>
        <v>0</v>
      </c>
      <c r="E104" s="15">
        <f>'Expense Tracker Data'!V102</f>
        <v>0</v>
      </c>
      <c r="F104" s="15">
        <f t="shared" si="4"/>
        <v>0</v>
      </c>
      <c r="G104" s="15" t="str">
        <f>IF(AND(D104&gt;0,E104&gt;0),G103+Bottom_Line_Table[[#This Row],[Difference]],"N/A")</f>
        <v>N/A</v>
      </c>
    </row>
    <row r="105" spans="2:7" x14ac:dyDescent="0.3">
      <c r="B105" s="12">
        <v>46508</v>
      </c>
      <c r="C105" s="13">
        <f t="shared" si="5"/>
        <v>46538</v>
      </c>
      <c r="D105" s="14">
        <f>'Income Tracker Data'!V103</f>
        <v>0</v>
      </c>
      <c r="E105" s="15">
        <f>'Expense Tracker Data'!V103</f>
        <v>0</v>
      </c>
      <c r="F105" s="15">
        <f t="shared" si="4"/>
        <v>0</v>
      </c>
      <c r="G105" s="15" t="str">
        <f>IF(AND(D105&gt;0,E105&gt;0),G104+Bottom_Line_Table[[#This Row],[Difference]],"N/A")</f>
        <v>N/A</v>
      </c>
    </row>
    <row r="106" spans="2:7" x14ac:dyDescent="0.3">
      <c r="B106" s="12">
        <v>46539</v>
      </c>
      <c r="C106" s="13">
        <f t="shared" si="5"/>
        <v>46568</v>
      </c>
      <c r="D106" s="14">
        <f>'Income Tracker Data'!V104</f>
        <v>0</v>
      </c>
      <c r="E106" s="15">
        <f>'Expense Tracker Data'!V104</f>
        <v>0</v>
      </c>
      <c r="F106" s="15">
        <f t="shared" si="4"/>
        <v>0</v>
      </c>
      <c r="G106" s="15" t="str">
        <f>IF(AND(D106&gt;0,E106&gt;0),G105+Bottom_Line_Table[[#This Row],[Difference]],"N/A")</f>
        <v>N/A</v>
      </c>
    </row>
    <row r="107" spans="2:7" x14ac:dyDescent="0.3">
      <c r="B107" s="12">
        <v>46569</v>
      </c>
      <c r="C107" s="13">
        <f t="shared" si="5"/>
        <v>46599</v>
      </c>
      <c r="D107" s="14">
        <f>'Income Tracker Data'!V105</f>
        <v>0</v>
      </c>
      <c r="E107" s="15">
        <f>'Expense Tracker Data'!V105</f>
        <v>0</v>
      </c>
      <c r="F107" s="15">
        <f t="shared" si="4"/>
        <v>0</v>
      </c>
      <c r="G107" s="15" t="str">
        <f>IF(AND(D107&gt;0,E107&gt;0),G106+Bottom_Line_Table[[#This Row],[Difference]],"N/A")</f>
        <v>N/A</v>
      </c>
    </row>
    <row r="108" spans="2:7" x14ac:dyDescent="0.3">
      <c r="B108" s="12">
        <v>46600</v>
      </c>
      <c r="C108" s="13">
        <f t="shared" si="5"/>
        <v>46630</v>
      </c>
      <c r="D108" s="14">
        <f>'Income Tracker Data'!V106</f>
        <v>0</v>
      </c>
      <c r="E108" s="15">
        <f>'Expense Tracker Data'!V106</f>
        <v>0</v>
      </c>
      <c r="F108" s="15">
        <f t="shared" si="4"/>
        <v>0</v>
      </c>
      <c r="G108" s="15" t="str">
        <f>IF(AND(D108&gt;0,E108&gt;0),G107+Bottom_Line_Table[[#This Row],[Difference]],"N/A")</f>
        <v>N/A</v>
      </c>
    </row>
    <row r="109" spans="2:7" x14ac:dyDescent="0.3">
      <c r="B109" s="12">
        <v>46631</v>
      </c>
      <c r="C109" s="13">
        <f t="shared" si="5"/>
        <v>46660</v>
      </c>
      <c r="D109" s="14">
        <f>'Income Tracker Data'!V107</f>
        <v>0</v>
      </c>
      <c r="E109" s="15">
        <f>'Expense Tracker Data'!V107</f>
        <v>0</v>
      </c>
      <c r="F109" s="15">
        <f t="shared" si="4"/>
        <v>0</v>
      </c>
      <c r="G109" s="15" t="str">
        <f>IF(AND(D109&gt;0,E109&gt;0),G108+Bottom_Line_Table[[#This Row],[Difference]],"N/A")</f>
        <v>N/A</v>
      </c>
    </row>
    <row r="110" spans="2:7" x14ac:dyDescent="0.3">
      <c r="B110" s="12">
        <v>46661</v>
      </c>
      <c r="C110" s="13">
        <f t="shared" si="5"/>
        <v>46691</v>
      </c>
      <c r="D110" s="14">
        <f>'Income Tracker Data'!V108</f>
        <v>0</v>
      </c>
      <c r="E110" s="15">
        <f>'Expense Tracker Data'!V108</f>
        <v>0</v>
      </c>
      <c r="F110" s="15">
        <f t="shared" si="4"/>
        <v>0</v>
      </c>
      <c r="G110" s="15" t="str">
        <f>IF(AND(D110&gt;0,E110&gt;0),G109+Bottom_Line_Table[[#This Row],[Difference]],"N/A")</f>
        <v>N/A</v>
      </c>
    </row>
    <row r="111" spans="2:7" x14ac:dyDescent="0.3">
      <c r="B111" s="12">
        <v>46692</v>
      </c>
      <c r="C111" s="13">
        <f t="shared" si="5"/>
        <v>46721</v>
      </c>
      <c r="D111" s="14">
        <f>'Income Tracker Data'!V109</f>
        <v>0</v>
      </c>
      <c r="E111" s="15">
        <f>'Expense Tracker Data'!V109</f>
        <v>0</v>
      </c>
      <c r="F111" s="15">
        <f t="shared" si="4"/>
        <v>0</v>
      </c>
      <c r="G111" s="15" t="str">
        <f>IF(AND(D111&gt;0,E111&gt;0),G110+Bottom_Line_Table[[#This Row],[Difference]],"N/A")</f>
        <v>N/A</v>
      </c>
    </row>
    <row r="112" spans="2:7" x14ac:dyDescent="0.3">
      <c r="B112" s="12">
        <v>46722</v>
      </c>
      <c r="C112" s="13">
        <f t="shared" si="5"/>
        <v>46752</v>
      </c>
      <c r="D112" s="14">
        <f>'Income Tracker Data'!V110</f>
        <v>0</v>
      </c>
      <c r="E112" s="15">
        <f>'Expense Tracker Data'!V110</f>
        <v>0</v>
      </c>
      <c r="F112" s="15">
        <f t="shared" si="4"/>
        <v>0</v>
      </c>
      <c r="G112" s="15" t="str">
        <f>IF(AND(D112&gt;0,E112&gt;0),G111+Bottom_Line_Table[[#This Row],[Difference]],"N/A")</f>
        <v>N/A</v>
      </c>
    </row>
    <row r="113" spans="2:7" x14ac:dyDescent="0.3">
      <c r="B113" s="12">
        <v>46753</v>
      </c>
      <c r="C113" s="13">
        <f t="shared" si="5"/>
        <v>46783</v>
      </c>
      <c r="D113" s="14">
        <f>'Income Tracker Data'!V111</f>
        <v>0</v>
      </c>
      <c r="E113" s="15">
        <f>'Expense Tracker Data'!V111</f>
        <v>0</v>
      </c>
      <c r="F113" s="15">
        <f t="shared" si="4"/>
        <v>0</v>
      </c>
      <c r="G113" s="15" t="str">
        <f>IF(AND(D113&gt;0,E113&gt;0),G112+Bottom_Line_Table[[#This Row],[Difference]],"N/A")</f>
        <v>N/A</v>
      </c>
    </row>
    <row r="114" spans="2:7" x14ac:dyDescent="0.3">
      <c r="B114" s="12">
        <v>46784</v>
      </c>
      <c r="C114" s="13">
        <f t="shared" si="5"/>
        <v>46812</v>
      </c>
      <c r="D114" s="14">
        <f>'Income Tracker Data'!V112</f>
        <v>0</v>
      </c>
      <c r="E114" s="15">
        <f>'Expense Tracker Data'!V112</f>
        <v>0</v>
      </c>
      <c r="F114" s="15">
        <f t="shared" si="4"/>
        <v>0</v>
      </c>
      <c r="G114" s="15" t="str">
        <f>IF(AND(D114&gt;0,E114&gt;0),G113+Bottom_Line_Table[[#This Row],[Difference]],"N/A")</f>
        <v>N/A</v>
      </c>
    </row>
    <row r="115" spans="2:7" x14ac:dyDescent="0.3">
      <c r="B115" s="12">
        <v>46813</v>
      </c>
      <c r="C115" s="13">
        <f t="shared" si="5"/>
        <v>46843</v>
      </c>
      <c r="D115" s="14">
        <f>'Income Tracker Data'!V113</f>
        <v>0</v>
      </c>
      <c r="E115" s="15">
        <f>'Expense Tracker Data'!V113</f>
        <v>0</v>
      </c>
      <c r="F115" s="15">
        <f t="shared" si="4"/>
        <v>0</v>
      </c>
      <c r="G115" s="15" t="str">
        <f>IF(AND(D115&gt;0,E115&gt;0),G114+Bottom_Line_Table[[#This Row],[Difference]],"N/A")</f>
        <v>N/A</v>
      </c>
    </row>
    <row r="116" spans="2:7" x14ac:dyDescent="0.3">
      <c r="B116" s="12">
        <v>46844</v>
      </c>
      <c r="C116" s="13">
        <f t="shared" si="5"/>
        <v>46873</v>
      </c>
      <c r="D116" s="14">
        <f>'Income Tracker Data'!V114</f>
        <v>0</v>
      </c>
      <c r="E116" s="15">
        <f>'Expense Tracker Data'!V114</f>
        <v>0</v>
      </c>
      <c r="F116" s="15">
        <f t="shared" si="4"/>
        <v>0</v>
      </c>
      <c r="G116" s="15" t="str">
        <f>IF(AND(D116&gt;0,E116&gt;0),G115+Bottom_Line_Table[[#This Row],[Difference]],"N/A")</f>
        <v>N/A</v>
      </c>
    </row>
    <row r="117" spans="2:7" x14ac:dyDescent="0.3">
      <c r="B117" s="12">
        <v>46874</v>
      </c>
      <c r="C117" s="13">
        <f t="shared" si="5"/>
        <v>46904</v>
      </c>
      <c r="D117" s="14">
        <f>'Income Tracker Data'!V115</f>
        <v>0</v>
      </c>
      <c r="E117" s="15">
        <f>'Expense Tracker Data'!V115</f>
        <v>0</v>
      </c>
      <c r="F117" s="15">
        <f t="shared" si="4"/>
        <v>0</v>
      </c>
      <c r="G117" s="15" t="str">
        <f>IF(AND(D117&gt;0,E117&gt;0),G116+Bottom_Line_Table[[#This Row],[Difference]],"N/A")</f>
        <v>N/A</v>
      </c>
    </row>
    <row r="118" spans="2:7" x14ac:dyDescent="0.3">
      <c r="B118" s="12">
        <v>46905</v>
      </c>
      <c r="C118" s="13">
        <f t="shared" si="5"/>
        <v>46934</v>
      </c>
      <c r="D118" s="14">
        <f>'Income Tracker Data'!V116</f>
        <v>0</v>
      </c>
      <c r="E118" s="15">
        <f>'Expense Tracker Data'!V116</f>
        <v>0</v>
      </c>
      <c r="F118" s="15">
        <f t="shared" si="4"/>
        <v>0</v>
      </c>
      <c r="G118" s="15" t="str">
        <f>IF(AND(D118&gt;0,E118&gt;0),G117+Bottom_Line_Table[[#This Row],[Difference]],"N/A")</f>
        <v>N/A</v>
      </c>
    </row>
    <row r="119" spans="2:7" x14ac:dyDescent="0.3">
      <c r="B119" s="12">
        <v>46935</v>
      </c>
      <c r="C119" s="13">
        <f t="shared" si="5"/>
        <v>46965</v>
      </c>
      <c r="D119" s="14">
        <f>'Income Tracker Data'!V117</f>
        <v>0</v>
      </c>
      <c r="E119" s="15">
        <f>'Expense Tracker Data'!V117</f>
        <v>0</v>
      </c>
      <c r="F119" s="15">
        <f t="shared" si="4"/>
        <v>0</v>
      </c>
      <c r="G119" s="15" t="str">
        <f>IF(AND(D119&gt;0,E119&gt;0),G118+Bottom_Line_Table[[#This Row],[Difference]],"N/A")</f>
        <v>N/A</v>
      </c>
    </row>
    <row r="120" spans="2:7" x14ac:dyDescent="0.3">
      <c r="B120" s="12">
        <v>46966</v>
      </c>
      <c r="C120" s="13">
        <f t="shared" si="5"/>
        <v>46996</v>
      </c>
      <c r="D120" s="14">
        <f>'Income Tracker Data'!V118</f>
        <v>0</v>
      </c>
      <c r="E120" s="15">
        <f>'Expense Tracker Data'!V118</f>
        <v>0</v>
      </c>
      <c r="F120" s="15">
        <f t="shared" si="4"/>
        <v>0</v>
      </c>
      <c r="G120" s="15" t="str">
        <f>IF(AND(D120&gt;0,E120&gt;0),G119+Bottom_Line_Table[[#This Row],[Difference]],"N/A")</f>
        <v>N/A</v>
      </c>
    </row>
    <row r="121" spans="2:7" x14ac:dyDescent="0.3">
      <c r="B121" s="12">
        <v>46997</v>
      </c>
      <c r="C121" s="13">
        <f t="shared" si="5"/>
        <v>47026</v>
      </c>
      <c r="D121" s="14">
        <f>'Income Tracker Data'!V119</f>
        <v>0</v>
      </c>
      <c r="E121" s="15">
        <f>'Expense Tracker Data'!V119</f>
        <v>0</v>
      </c>
      <c r="F121" s="15">
        <f t="shared" si="4"/>
        <v>0</v>
      </c>
      <c r="G121" s="15" t="str">
        <f>IF(AND(D121&gt;0,E121&gt;0),G120+Bottom_Line_Table[[#This Row],[Difference]],"N/A")</f>
        <v>N/A</v>
      </c>
    </row>
    <row r="122" spans="2:7" x14ac:dyDescent="0.3">
      <c r="B122" s="12">
        <v>47027</v>
      </c>
      <c r="C122" s="13">
        <f t="shared" si="5"/>
        <v>47057</v>
      </c>
      <c r="D122" s="14">
        <f>'Income Tracker Data'!V120</f>
        <v>0</v>
      </c>
      <c r="E122" s="15">
        <f>'Expense Tracker Data'!V120</f>
        <v>0</v>
      </c>
      <c r="F122" s="15">
        <f t="shared" si="4"/>
        <v>0</v>
      </c>
      <c r="G122" s="15" t="str">
        <f>IF(AND(D122&gt;0,E122&gt;0),G121+Bottom_Line_Table[[#This Row],[Difference]],"N/A")</f>
        <v>N/A</v>
      </c>
    </row>
    <row r="123" spans="2:7" x14ac:dyDescent="0.3">
      <c r="B123" s="12">
        <v>47058</v>
      </c>
      <c r="C123" s="13">
        <f t="shared" si="5"/>
        <v>47087</v>
      </c>
      <c r="D123" s="14">
        <f>'Income Tracker Data'!V121</f>
        <v>0</v>
      </c>
      <c r="E123" s="15">
        <f>'Expense Tracker Data'!V121</f>
        <v>0</v>
      </c>
      <c r="F123" s="15">
        <f t="shared" si="4"/>
        <v>0</v>
      </c>
      <c r="G123" s="15" t="str">
        <f>IF(AND(D123&gt;0,E123&gt;0),G122+Bottom_Line_Table[[#This Row],[Difference]],"N/A")</f>
        <v>N/A</v>
      </c>
    </row>
    <row r="124" spans="2:7" x14ac:dyDescent="0.3">
      <c r="B124" s="12">
        <v>47088</v>
      </c>
      <c r="C124" s="13">
        <f t="shared" si="5"/>
        <v>47118</v>
      </c>
      <c r="D124" s="14">
        <f>'Income Tracker Data'!V122</f>
        <v>0</v>
      </c>
      <c r="E124" s="15">
        <f>'Expense Tracker Data'!V122</f>
        <v>0</v>
      </c>
      <c r="F124" s="15">
        <f t="shared" si="4"/>
        <v>0</v>
      </c>
      <c r="G124" s="15" t="str">
        <f>IF(AND(D124&gt;0,E124&gt;0),G123+Bottom_Line_Table[[#This Row],[Difference]],"N/A")</f>
        <v>N/A</v>
      </c>
    </row>
    <row r="125" spans="2:7" x14ac:dyDescent="0.3">
      <c r="B125" s="12">
        <v>47119</v>
      </c>
      <c r="C125" s="13">
        <f t="shared" si="5"/>
        <v>47149</v>
      </c>
      <c r="D125" s="14">
        <f>'Income Tracker Data'!V123</f>
        <v>0</v>
      </c>
      <c r="E125" s="15">
        <f>'Expense Tracker Data'!V123</f>
        <v>0</v>
      </c>
      <c r="F125" s="15">
        <f t="shared" si="4"/>
        <v>0</v>
      </c>
      <c r="G125" s="15" t="str">
        <f>IF(AND(D125&gt;0,E125&gt;0),G124+Bottom_Line_Table[[#This Row],[Difference]],"N/A")</f>
        <v>N/A</v>
      </c>
    </row>
    <row r="126" spans="2:7" x14ac:dyDescent="0.3">
      <c r="B126" s="12">
        <v>47150</v>
      </c>
      <c r="C126" s="13">
        <f t="shared" si="5"/>
        <v>47177</v>
      </c>
      <c r="D126" s="14">
        <f>'Income Tracker Data'!V124</f>
        <v>0</v>
      </c>
      <c r="E126" s="15">
        <f>'Expense Tracker Data'!V124</f>
        <v>0</v>
      </c>
      <c r="F126" s="15">
        <f t="shared" si="4"/>
        <v>0</v>
      </c>
      <c r="G126" s="15" t="str">
        <f>IF(AND(D126&gt;0,E126&gt;0),G125+Bottom_Line_Table[[#This Row],[Difference]],"N/A")</f>
        <v>N/A</v>
      </c>
    </row>
    <row r="127" spans="2:7" x14ac:dyDescent="0.3">
      <c r="B127" s="12">
        <v>47178</v>
      </c>
      <c r="C127" s="13">
        <f t="shared" si="5"/>
        <v>47208</v>
      </c>
      <c r="D127" s="14">
        <f>'Income Tracker Data'!V125</f>
        <v>0</v>
      </c>
      <c r="E127" s="15">
        <f>'Expense Tracker Data'!V125</f>
        <v>0</v>
      </c>
      <c r="F127" s="15">
        <f t="shared" si="4"/>
        <v>0</v>
      </c>
      <c r="G127" s="15" t="str">
        <f>IF(AND(D127&gt;0,E127&gt;0),G126+Bottom_Line_Table[[#This Row],[Difference]],"N/A")</f>
        <v>N/A</v>
      </c>
    </row>
    <row r="128" spans="2:7" x14ac:dyDescent="0.3">
      <c r="B128" s="12">
        <v>47209</v>
      </c>
      <c r="C128" s="13">
        <f t="shared" si="5"/>
        <v>47238</v>
      </c>
      <c r="D128" s="14">
        <f>'Income Tracker Data'!V126</f>
        <v>0</v>
      </c>
      <c r="E128" s="15">
        <f>'Expense Tracker Data'!V126</f>
        <v>0</v>
      </c>
      <c r="F128" s="15">
        <f t="shared" si="4"/>
        <v>0</v>
      </c>
      <c r="G128" s="15" t="str">
        <f>IF(AND(D128&gt;0,E128&gt;0),G127+Bottom_Line_Table[[#This Row],[Difference]],"N/A")</f>
        <v>N/A</v>
      </c>
    </row>
    <row r="129" spans="2:7" x14ac:dyDescent="0.3">
      <c r="B129" s="12">
        <v>47239</v>
      </c>
      <c r="C129" s="13">
        <f t="shared" si="5"/>
        <v>47269</v>
      </c>
      <c r="D129" s="14">
        <f>'Income Tracker Data'!V127</f>
        <v>0</v>
      </c>
      <c r="E129" s="15">
        <f>'Expense Tracker Data'!V127</f>
        <v>0</v>
      </c>
      <c r="F129" s="15">
        <f t="shared" si="4"/>
        <v>0</v>
      </c>
      <c r="G129" s="15" t="str">
        <f>IF(AND(D129&gt;0,E129&gt;0),G128+Bottom_Line_Table[[#This Row],[Difference]],"N/A")</f>
        <v>N/A</v>
      </c>
    </row>
    <row r="130" spans="2:7" x14ac:dyDescent="0.3">
      <c r="B130" s="12">
        <v>47270</v>
      </c>
      <c r="C130" s="13">
        <f t="shared" si="5"/>
        <v>47299</v>
      </c>
      <c r="D130" s="14">
        <f>'Income Tracker Data'!V128</f>
        <v>0</v>
      </c>
      <c r="E130" s="15">
        <f>'Expense Tracker Data'!V128</f>
        <v>0</v>
      </c>
      <c r="F130" s="15">
        <f t="shared" si="4"/>
        <v>0</v>
      </c>
      <c r="G130" s="15" t="str">
        <f>IF(AND(D130&gt;0,E130&gt;0),G129+Bottom_Line_Table[[#This Row],[Difference]],"N/A")</f>
        <v>N/A</v>
      </c>
    </row>
    <row r="131" spans="2:7" x14ac:dyDescent="0.3">
      <c r="B131" s="12">
        <v>47300</v>
      </c>
      <c r="C131" s="13">
        <f t="shared" si="5"/>
        <v>47330</v>
      </c>
      <c r="D131" s="14">
        <f>'Income Tracker Data'!V129</f>
        <v>0</v>
      </c>
      <c r="E131" s="15">
        <f>'Expense Tracker Data'!V129</f>
        <v>0</v>
      </c>
      <c r="F131" s="15">
        <f t="shared" si="4"/>
        <v>0</v>
      </c>
      <c r="G131" s="15" t="str">
        <f>IF(AND(D131&gt;0,E131&gt;0),G130+Bottom_Line_Table[[#This Row],[Difference]],"N/A")</f>
        <v>N/A</v>
      </c>
    </row>
    <row r="132" spans="2:7" x14ac:dyDescent="0.3">
      <c r="B132" s="12">
        <v>47331</v>
      </c>
      <c r="C132" s="13">
        <f t="shared" si="5"/>
        <v>47361</v>
      </c>
      <c r="D132" s="14">
        <f>'Income Tracker Data'!V130</f>
        <v>0</v>
      </c>
      <c r="E132" s="15">
        <f>'Expense Tracker Data'!V130</f>
        <v>0</v>
      </c>
      <c r="F132" s="15">
        <f t="shared" si="4"/>
        <v>0</v>
      </c>
      <c r="G132" s="15" t="str">
        <f>IF(AND(D132&gt;0,E132&gt;0),G131+Bottom_Line_Table[[#This Row],[Difference]],"N/A")</f>
        <v>N/A</v>
      </c>
    </row>
    <row r="133" spans="2:7" x14ac:dyDescent="0.3">
      <c r="B133" s="12">
        <v>47362</v>
      </c>
      <c r="C133" s="13">
        <f t="shared" si="5"/>
        <v>47391</v>
      </c>
      <c r="D133" s="14">
        <f>'Income Tracker Data'!V131</f>
        <v>0</v>
      </c>
      <c r="E133" s="15">
        <f>'Expense Tracker Data'!V131</f>
        <v>0</v>
      </c>
      <c r="F133" s="15">
        <f t="shared" si="4"/>
        <v>0</v>
      </c>
      <c r="G133" s="15" t="str">
        <f>IF(AND(D133&gt;0,E133&gt;0),G132+Bottom_Line_Table[[#This Row],[Difference]],"N/A")</f>
        <v>N/A</v>
      </c>
    </row>
    <row r="134" spans="2:7" x14ac:dyDescent="0.3">
      <c r="B134" s="12">
        <v>47392</v>
      </c>
      <c r="C134" s="13">
        <f t="shared" si="5"/>
        <v>47422</v>
      </c>
      <c r="D134" s="14">
        <f>'Income Tracker Data'!V132</f>
        <v>0</v>
      </c>
      <c r="E134" s="15">
        <f>'Expense Tracker Data'!V132</f>
        <v>0</v>
      </c>
      <c r="F134" s="15">
        <f t="shared" ref="F134:F197" si="6">D134-E134</f>
        <v>0</v>
      </c>
      <c r="G134" s="15" t="str">
        <f>IF(AND(D134&gt;0,E134&gt;0),G133+Bottom_Line_Table[[#This Row],[Difference]],"N/A")</f>
        <v>N/A</v>
      </c>
    </row>
    <row r="135" spans="2:7" x14ac:dyDescent="0.3">
      <c r="B135" s="12">
        <v>47423</v>
      </c>
      <c r="C135" s="13">
        <f t="shared" si="5"/>
        <v>47452</v>
      </c>
      <c r="D135" s="14">
        <f>'Income Tracker Data'!V133</f>
        <v>0</v>
      </c>
      <c r="E135" s="15">
        <f>'Expense Tracker Data'!V133</f>
        <v>0</v>
      </c>
      <c r="F135" s="15">
        <f t="shared" si="6"/>
        <v>0</v>
      </c>
      <c r="G135" s="15" t="str">
        <f>IF(AND(D135&gt;0,E135&gt;0),G134+Bottom_Line_Table[[#This Row],[Difference]],"N/A")</f>
        <v>N/A</v>
      </c>
    </row>
    <row r="136" spans="2:7" x14ac:dyDescent="0.3">
      <c r="B136" s="12">
        <v>47453</v>
      </c>
      <c r="C136" s="13">
        <f t="shared" si="5"/>
        <v>47483</v>
      </c>
      <c r="D136" s="14">
        <f>'Income Tracker Data'!V134</f>
        <v>0</v>
      </c>
      <c r="E136" s="15">
        <f>'Expense Tracker Data'!V134</f>
        <v>0</v>
      </c>
      <c r="F136" s="15">
        <f t="shared" si="6"/>
        <v>0</v>
      </c>
      <c r="G136" s="15" t="str">
        <f>IF(AND(D136&gt;0,E136&gt;0),G135+Bottom_Line_Table[[#This Row],[Difference]],"N/A")</f>
        <v>N/A</v>
      </c>
    </row>
    <row r="137" spans="2:7" x14ac:dyDescent="0.3">
      <c r="B137" s="12">
        <v>47484</v>
      </c>
      <c r="C137" s="13">
        <f t="shared" si="5"/>
        <v>47514</v>
      </c>
      <c r="D137" s="14">
        <f>'Income Tracker Data'!V135</f>
        <v>10000</v>
      </c>
      <c r="E137" s="15">
        <f>'Expense Tracker Data'!V135</f>
        <v>0</v>
      </c>
      <c r="F137" s="15">
        <f t="shared" si="6"/>
        <v>10000</v>
      </c>
      <c r="G137" s="15" t="str">
        <f>IF(AND(D137&gt;0,E137&gt;0),G136+Bottom_Line_Table[[#This Row],[Difference]],"N/A")</f>
        <v>N/A</v>
      </c>
    </row>
    <row r="138" spans="2:7" x14ac:dyDescent="0.3">
      <c r="B138" s="12">
        <v>47515</v>
      </c>
      <c r="C138" s="13">
        <f t="shared" si="5"/>
        <v>47542</v>
      </c>
      <c r="D138" s="14">
        <f>'Income Tracker Data'!V136</f>
        <v>0</v>
      </c>
      <c r="E138" s="15">
        <f>'Expense Tracker Data'!V136</f>
        <v>0</v>
      </c>
      <c r="F138" s="15">
        <f t="shared" si="6"/>
        <v>0</v>
      </c>
      <c r="G138" s="15" t="str">
        <f>IF(AND(D138&gt;0,E138&gt;0),G137+Bottom_Line_Table[[#This Row],[Difference]],"N/A")</f>
        <v>N/A</v>
      </c>
    </row>
    <row r="139" spans="2:7" x14ac:dyDescent="0.3">
      <c r="B139" s="12">
        <v>47543</v>
      </c>
      <c r="C139" s="13">
        <f t="shared" ref="C139:C202" si="7">EOMONTH(B139,0)</f>
        <v>47573</v>
      </c>
      <c r="D139" s="14">
        <f>'Income Tracker Data'!V137</f>
        <v>0</v>
      </c>
      <c r="E139" s="15">
        <f>'Expense Tracker Data'!V137</f>
        <v>0</v>
      </c>
      <c r="F139" s="15">
        <f t="shared" si="6"/>
        <v>0</v>
      </c>
      <c r="G139" s="15" t="str">
        <f>IF(AND(D139&gt;0,E139&gt;0),G138+Bottom_Line_Table[[#This Row],[Difference]],"N/A")</f>
        <v>N/A</v>
      </c>
    </row>
    <row r="140" spans="2:7" x14ac:dyDescent="0.3">
      <c r="B140" s="12">
        <v>47574</v>
      </c>
      <c r="C140" s="13">
        <f t="shared" si="7"/>
        <v>47603</v>
      </c>
      <c r="D140" s="14">
        <f>'Income Tracker Data'!V138</f>
        <v>0</v>
      </c>
      <c r="E140" s="15">
        <f>'Expense Tracker Data'!V138</f>
        <v>0</v>
      </c>
      <c r="F140" s="15">
        <f t="shared" si="6"/>
        <v>0</v>
      </c>
      <c r="G140" s="15" t="str">
        <f>IF(AND(D140&gt;0,E140&gt;0),G139+Bottom_Line_Table[[#This Row],[Difference]],"N/A")</f>
        <v>N/A</v>
      </c>
    </row>
    <row r="141" spans="2:7" x14ac:dyDescent="0.3">
      <c r="B141" s="12">
        <v>47604</v>
      </c>
      <c r="C141" s="13">
        <f t="shared" si="7"/>
        <v>47634</v>
      </c>
      <c r="D141" s="14">
        <f>'Income Tracker Data'!V139</f>
        <v>0</v>
      </c>
      <c r="E141" s="15">
        <f>'Expense Tracker Data'!V139</f>
        <v>0</v>
      </c>
      <c r="F141" s="15">
        <f t="shared" si="6"/>
        <v>0</v>
      </c>
      <c r="G141" s="15" t="str">
        <f>IF(AND(D141&gt;0,E141&gt;0),G140+Bottom_Line_Table[[#This Row],[Difference]],"N/A")</f>
        <v>N/A</v>
      </c>
    </row>
    <row r="142" spans="2:7" x14ac:dyDescent="0.3">
      <c r="B142" s="12">
        <v>47635</v>
      </c>
      <c r="C142" s="13">
        <f t="shared" si="7"/>
        <v>47664</v>
      </c>
      <c r="D142" s="14">
        <f>'Income Tracker Data'!V140</f>
        <v>0</v>
      </c>
      <c r="E142" s="15">
        <f>'Expense Tracker Data'!V140</f>
        <v>0</v>
      </c>
      <c r="F142" s="15">
        <f t="shared" si="6"/>
        <v>0</v>
      </c>
      <c r="G142" s="15" t="str">
        <f>IF(AND(D142&gt;0,E142&gt;0),G141+Bottom_Line_Table[[#This Row],[Difference]],"N/A")</f>
        <v>N/A</v>
      </c>
    </row>
    <row r="143" spans="2:7" x14ac:dyDescent="0.3">
      <c r="B143" s="12">
        <v>47665</v>
      </c>
      <c r="C143" s="13">
        <f t="shared" si="7"/>
        <v>47695</v>
      </c>
      <c r="D143" s="14">
        <f>'Income Tracker Data'!V141</f>
        <v>0</v>
      </c>
      <c r="E143" s="15">
        <f>'Expense Tracker Data'!V141</f>
        <v>0</v>
      </c>
      <c r="F143" s="15">
        <f t="shared" si="6"/>
        <v>0</v>
      </c>
      <c r="G143" s="15" t="str">
        <f>IF(AND(D143&gt;0,E143&gt;0),G142+Bottom_Line_Table[[#This Row],[Difference]],"N/A")</f>
        <v>N/A</v>
      </c>
    </row>
    <row r="144" spans="2:7" x14ac:dyDescent="0.3">
      <c r="B144" s="12">
        <v>47696</v>
      </c>
      <c r="C144" s="13">
        <f t="shared" si="7"/>
        <v>47726</v>
      </c>
      <c r="D144" s="14">
        <f>'Income Tracker Data'!V142</f>
        <v>0</v>
      </c>
      <c r="E144" s="15">
        <f>'Expense Tracker Data'!V142</f>
        <v>0</v>
      </c>
      <c r="F144" s="15">
        <f t="shared" si="6"/>
        <v>0</v>
      </c>
      <c r="G144" s="15" t="str">
        <f>IF(AND(D144&gt;0,E144&gt;0),G143+Bottom_Line_Table[[#This Row],[Difference]],"N/A")</f>
        <v>N/A</v>
      </c>
    </row>
    <row r="145" spans="2:7" x14ac:dyDescent="0.3">
      <c r="B145" s="12">
        <v>47727</v>
      </c>
      <c r="C145" s="13">
        <f t="shared" si="7"/>
        <v>47756</v>
      </c>
      <c r="D145" s="14">
        <f>'Income Tracker Data'!V143</f>
        <v>0</v>
      </c>
      <c r="E145" s="15">
        <f>'Expense Tracker Data'!V143</f>
        <v>0</v>
      </c>
      <c r="F145" s="15">
        <f t="shared" si="6"/>
        <v>0</v>
      </c>
      <c r="G145" s="15" t="str">
        <f>IF(AND(D145&gt;0,E145&gt;0),G144+Bottom_Line_Table[[#This Row],[Difference]],"N/A")</f>
        <v>N/A</v>
      </c>
    </row>
    <row r="146" spans="2:7" x14ac:dyDescent="0.3">
      <c r="B146" s="12">
        <v>47757</v>
      </c>
      <c r="C146" s="13">
        <f t="shared" si="7"/>
        <v>47787</v>
      </c>
      <c r="D146" s="14">
        <f>'Income Tracker Data'!V144</f>
        <v>0</v>
      </c>
      <c r="E146" s="15">
        <f>'Expense Tracker Data'!V144</f>
        <v>0</v>
      </c>
      <c r="F146" s="15">
        <f t="shared" si="6"/>
        <v>0</v>
      </c>
      <c r="G146" s="15" t="str">
        <f>IF(AND(D146&gt;0,E146&gt;0),G145+Bottom_Line_Table[[#This Row],[Difference]],"N/A")</f>
        <v>N/A</v>
      </c>
    </row>
    <row r="147" spans="2:7" x14ac:dyDescent="0.3">
      <c r="B147" s="12">
        <v>47788</v>
      </c>
      <c r="C147" s="13">
        <f t="shared" si="7"/>
        <v>47817</v>
      </c>
      <c r="D147" s="14">
        <f>'Income Tracker Data'!V145</f>
        <v>0</v>
      </c>
      <c r="E147" s="15">
        <f>'Expense Tracker Data'!V145</f>
        <v>0</v>
      </c>
      <c r="F147" s="15">
        <f t="shared" si="6"/>
        <v>0</v>
      </c>
      <c r="G147" s="15" t="str">
        <f>IF(AND(D147&gt;0,E147&gt;0),G146+Bottom_Line_Table[[#This Row],[Difference]],"N/A")</f>
        <v>N/A</v>
      </c>
    </row>
    <row r="148" spans="2:7" x14ac:dyDescent="0.3">
      <c r="B148" s="12">
        <v>47818</v>
      </c>
      <c r="C148" s="13">
        <f t="shared" si="7"/>
        <v>47848</v>
      </c>
      <c r="D148" s="14">
        <f>'Income Tracker Data'!V146</f>
        <v>0</v>
      </c>
      <c r="E148" s="15">
        <f>'Expense Tracker Data'!V146</f>
        <v>0</v>
      </c>
      <c r="F148" s="15">
        <f t="shared" si="6"/>
        <v>0</v>
      </c>
      <c r="G148" s="15" t="str">
        <f>IF(AND(D148&gt;0,E148&gt;0),G147+Bottom_Line_Table[[#This Row],[Difference]],"N/A")</f>
        <v>N/A</v>
      </c>
    </row>
    <row r="149" spans="2:7" x14ac:dyDescent="0.3">
      <c r="B149" s="12">
        <v>47849</v>
      </c>
      <c r="C149" s="13">
        <f t="shared" si="7"/>
        <v>47879</v>
      </c>
      <c r="D149" s="14">
        <f>'Income Tracker Data'!V147</f>
        <v>0</v>
      </c>
      <c r="E149" s="15">
        <f>'Expense Tracker Data'!V147</f>
        <v>0</v>
      </c>
      <c r="F149" s="15">
        <f t="shared" si="6"/>
        <v>0</v>
      </c>
      <c r="G149" s="15" t="str">
        <f>IF(AND(D149&gt;0,E149&gt;0),G148+Bottom_Line_Table[[#This Row],[Difference]],"N/A")</f>
        <v>N/A</v>
      </c>
    </row>
    <row r="150" spans="2:7" x14ac:dyDescent="0.3">
      <c r="B150" s="12">
        <v>47880</v>
      </c>
      <c r="C150" s="13">
        <f t="shared" si="7"/>
        <v>47907</v>
      </c>
      <c r="D150" s="14">
        <f>'Income Tracker Data'!V148</f>
        <v>0</v>
      </c>
      <c r="E150" s="15">
        <f>'Expense Tracker Data'!V148</f>
        <v>0</v>
      </c>
      <c r="F150" s="15">
        <f t="shared" si="6"/>
        <v>0</v>
      </c>
      <c r="G150" s="15" t="str">
        <f>IF(AND(D150&gt;0,E150&gt;0),G149+Bottom_Line_Table[[#This Row],[Difference]],"N/A")</f>
        <v>N/A</v>
      </c>
    </row>
    <row r="151" spans="2:7" x14ac:dyDescent="0.3">
      <c r="B151" s="12">
        <v>47908</v>
      </c>
      <c r="C151" s="13">
        <f t="shared" si="7"/>
        <v>47938</v>
      </c>
      <c r="D151" s="14">
        <f>'Income Tracker Data'!V149</f>
        <v>0</v>
      </c>
      <c r="E151" s="15">
        <f>'Expense Tracker Data'!V149</f>
        <v>0</v>
      </c>
      <c r="F151" s="15">
        <f t="shared" si="6"/>
        <v>0</v>
      </c>
      <c r="G151" s="15" t="str">
        <f>IF(AND(D151&gt;0,E151&gt;0),G150+Bottom_Line_Table[[#This Row],[Difference]],"N/A")</f>
        <v>N/A</v>
      </c>
    </row>
    <row r="152" spans="2:7" x14ac:dyDescent="0.3">
      <c r="B152" s="12">
        <v>47939</v>
      </c>
      <c r="C152" s="13">
        <f t="shared" si="7"/>
        <v>47968</v>
      </c>
      <c r="D152" s="14">
        <f>'Income Tracker Data'!V150</f>
        <v>0</v>
      </c>
      <c r="E152" s="15">
        <f>'Expense Tracker Data'!V150</f>
        <v>0</v>
      </c>
      <c r="F152" s="15">
        <f t="shared" si="6"/>
        <v>0</v>
      </c>
      <c r="G152" s="15" t="str">
        <f>IF(AND(D152&gt;0,E152&gt;0),G151+Bottom_Line_Table[[#This Row],[Difference]],"N/A")</f>
        <v>N/A</v>
      </c>
    </row>
    <row r="153" spans="2:7" x14ac:dyDescent="0.3">
      <c r="B153" s="12">
        <v>47969</v>
      </c>
      <c r="C153" s="13">
        <f t="shared" si="7"/>
        <v>47999</v>
      </c>
      <c r="D153" s="14">
        <f>'Income Tracker Data'!V151</f>
        <v>0</v>
      </c>
      <c r="E153" s="15">
        <f>'Expense Tracker Data'!V151</f>
        <v>0</v>
      </c>
      <c r="F153" s="15">
        <f t="shared" si="6"/>
        <v>0</v>
      </c>
      <c r="G153" s="15" t="str">
        <f>IF(AND(D153&gt;0,E153&gt;0),G152+Bottom_Line_Table[[#This Row],[Difference]],"N/A")</f>
        <v>N/A</v>
      </c>
    </row>
    <row r="154" spans="2:7" x14ac:dyDescent="0.3">
      <c r="B154" s="12">
        <v>48000</v>
      </c>
      <c r="C154" s="13">
        <f t="shared" si="7"/>
        <v>48029</v>
      </c>
      <c r="D154" s="14">
        <f>'Income Tracker Data'!V152</f>
        <v>0</v>
      </c>
      <c r="E154" s="15">
        <f>'Expense Tracker Data'!V152</f>
        <v>0</v>
      </c>
      <c r="F154" s="15">
        <f t="shared" si="6"/>
        <v>0</v>
      </c>
      <c r="G154" s="15" t="str">
        <f>IF(AND(D154&gt;0,E154&gt;0),G153+Bottom_Line_Table[[#This Row],[Difference]],"N/A")</f>
        <v>N/A</v>
      </c>
    </row>
    <row r="155" spans="2:7" x14ac:dyDescent="0.3">
      <c r="B155" s="12">
        <v>48030</v>
      </c>
      <c r="C155" s="13">
        <f t="shared" si="7"/>
        <v>48060</v>
      </c>
      <c r="D155" s="14">
        <f>'Income Tracker Data'!V153</f>
        <v>0</v>
      </c>
      <c r="E155" s="15">
        <f>'Expense Tracker Data'!V153</f>
        <v>0</v>
      </c>
      <c r="F155" s="15">
        <f t="shared" si="6"/>
        <v>0</v>
      </c>
      <c r="G155" s="15" t="str">
        <f>IF(AND(D155&gt;0,E155&gt;0),G154+Bottom_Line_Table[[#This Row],[Difference]],"N/A")</f>
        <v>N/A</v>
      </c>
    </row>
    <row r="156" spans="2:7" x14ac:dyDescent="0.3">
      <c r="B156" s="12">
        <v>48061</v>
      </c>
      <c r="C156" s="13">
        <f t="shared" si="7"/>
        <v>48091</v>
      </c>
      <c r="D156" s="14">
        <f>'Income Tracker Data'!V154</f>
        <v>0</v>
      </c>
      <c r="E156" s="15">
        <f>'Expense Tracker Data'!V154</f>
        <v>0</v>
      </c>
      <c r="F156" s="15">
        <f t="shared" si="6"/>
        <v>0</v>
      </c>
      <c r="G156" s="15" t="str">
        <f>IF(AND(D156&gt;0,E156&gt;0),G155+Bottom_Line_Table[[#This Row],[Difference]],"N/A")</f>
        <v>N/A</v>
      </c>
    </row>
    <row r="157" spans="2:7" x14ac:dyDescent="0.3">
      <c r="B157" s="12">
        <v>48092</v>
      </c>
      <c r="C157" s="13">
        <f t="shared" si="7"/>
        <v>48121</v>
      </c>
      <c r="D157" s="14">
        <f>'Income Tracker Data'!V155</f>
        <v>0</v>
      </c>
      <c r="E157" s="15">
        <f>'Expense Tracker Data'!V155</f>
        <v>0</v>
      </c>
      <c r="F157" s="15">
        <f t="shared" si="6"/>
        <v>0</v>
      </c>
      <c r="G157" s="15" t="str">
        <f>IF(AND(D157&gt;0,E157&gt;0),G156+Bottom_Line_Table[[#This Row],[Difference]],"N/A")</f>
        <v>N/A</v>
      </c>
    </row>
    <row r="158" spans="2:7" x14ac:dyDescent="0.3">
      <c r="B158" s="12">
        <v>48122</v>
      </c>
      <c r="C158" s="13">
        <f t="shared" si="7"/>
        <v>48152</v>
      </c>
      <c r="D158" s="14">
        <f>'Income Tracker Data'!V156</f>
        <v>0</v>
      </c>
      <c r="E158" s="15">
        <f>'Expense Tracker Data'!V156</f>
        <v>0</v>
      </c>
      <c r="F158" s="15">
        <f t="shared" si="6"/>
        <v>0</v>
      </c>
      <c r="G158" s="15" t="str">
        <f>IF(AND(D158&gt;0,E158&gt;0),G157+Bottom_Line_Table[[#This Row],[Difference]],"N/A")</f>
        <v>N/A</v>
      </c>
    </row>
    <row r="159" spans="2:7" x14ac:dyDescent="0.3">
      <c r="B159" s="12">
        <v>48153</v>
      </c>
      <c r="C159" s="13">
        <f t="shared" si="7"/>
        <v>48182</v>
      </c>
      <c r="D159" s="14">
        <f>'Income Tracker Data'!V157</f>
        <v>0</v>
      </c>
      <c r="E159" s="15">
        <f>'Expense Tracker Data'!V157</f>
        <v>0</v>
      </c>
      <c r="F159" s="15">
        <f t="shared" si="6"/>
        <v>0</v>
      </c>
      <c r="G159" s="15" t="str">
        <f>IF(AND(D159&gt;0,E159&gt;0),G158+Bottom_Line_Table[[#This Row],[Difference]],"N/A")</f>
        <v>N/A</v>
      </c>
    </row>
    <row r="160" spans="2:7" x14ac:dyDescent="0.3">
      <c r="B160" s="12">
        <v>48183</v>
      </c>
      <c r="C160" s="13">
        <f t="shared" si="7"/>
        <v>48213</v>
      </c>
      <c r="D160" s="14">
        <f>'Income Tracker Data'!V158</f>
        <v>0</v>
      </c>
      <c r="E160" s="15">
        <f>'Expense Tracker Data'!V158</f>
        <v>0</v>
      </c>
      <c r="F160" s="15">
        <f t="shared" si="6"/>
        <v>0</v>
      </c>
      <c r="G160" s="15" t="str">
        <f>IF(AND(D160&gt;0,E160&gt;0),G159+Bottom_Line_Table[[#This Row],[Difference]],"N/A")</f>
        <v>N/A</v>
      </c>
    </row>
    <row r="161" spans="2:7" x14ac:dyDescent="0.3">
      <c r="B161" s="12">
        <v>48214</v>
      </c>
      <c r="C161" s="13">
        <f t="shared" si="7"/>
        <v>48244</v>
      </c>
      <c r="D161" s="14">
        <f>'Income Tracker Data'!V159</f>
        <v>0</v>
      </c>
      <c r="E161" s="15">
        <f>'Expense Tracker Data'!V159</f>
        <v>0</v>
      </c>
      <c r="F161" s="15">
        <f t="shared" si="6"/>
        <v>0</v>
      </c>
      <c r="G161" s="15" t="str">
        <f>IF(AND(D161&gt;0,E161&gt;0),G160+Bottom_Line_Table[[#This Row],[Difference]],"N/A")</f>
        <v>N/A</v>
      </c>
    </row>
    <row r="162" spans="2:7" x14ac:dyDescent="0.3">
      <c r="B162" s="12">
        <v>48245</v>
      </c>
      <c r="C162" s="13">
        <f t="shared" si="7"/>
        <v>48273</v>
      </c>
      <c r="D162" s="14">
        <f>'Income Tracker Data'!V160</f>
        <v>0</v>
      </c>
      <c r="E162" s="15">
        <f>'Expense Tracker Data'!V160</f>
        <v>0</v>
      </c>
      <c r="F162" s="15">
        <f t="shared" si="6"/>
        <v>0</v>
      </c>
      <c r="G162" s="15" t="str">
        <f>IF(AND(D162&gt;0,E162&gt;0),G161+Bottom_Line_Table[[#This Row],[Difference]],"N/A")</f>
        <v>N/A</v>
      </c>
    </row>
    <row r="163" spans="2:7" x14ac:dyDescent="0.3">
      <c r="B163" s="12">
        <v>48274</v>
      </c>
      <c r="C163" s="13">
        <f t="shared" si="7"/>
        <v>48304</v>
      </c>
      <c r="D163" s="14">
        <f>'Income Tracker Data'!V161</f>
        <v>0</v>
      </c>
      <c r="E163" s="15">
        <f>'Expense Tracker Data'!V161</f>
        <v>0</v>
      </c>
      <c r="F163" s="15">
        <f t="shared" si="6"/>
        <v>0</v>
      </c>
      <c r="G163" s="15" t="str">
        <f>IF(AND(D163&gt;0,E163&gt;0),G162+Bottom_Line_Table[[#This Row],[Difference]],"N/A")</f>
        <v>N/A</v>
      </c>
    </row>
    <row r="164" spans="2:7" x14ac:dyDescent="0.3">
      <c r="B164" s="12">
        <v>48305</v>
      </c>
      <c r="C164" s="13">
        <f t="shared" si="7"/>
        <v>48334</v>
      </c>
      <c r="D164" s="14">
        <f>'Income Tracker Data'!V162</f>
        <v>0</v>
      </c>
      <c r="E164" s="15">
        <f>'Expense Tracker Data'!V162</f>
        <v>0</v>
      </c>
      <c r="F164" s="15">
        <f t="shared" si="6"/>
        <v>0</v>
      </c>
      <c r="G164" s="15" t="str">
        <f>IF(AND(D164&gt;0,E164&gt;0),G163+Bottom_Line_Table[[#This Row],[Difference]],"N/A")</f>
        <v>N/A</v>
      </c>
    </row>
    <row r="165" spans="2:7" x14ac:dyDescent="0.3">
      <c r="B165" s="12">
        <v>48335</v>
      </c>
      <c r="C165" s="13">
        <f t="shared" si="7"/>
        <v>48365</v>
      </c>
      <c r="D165" s="14">
        <f>'Income Tracker Data'!V163</f>
        <v>0</v>
      </c>
      <c r="E165" s="15">
        <f>'Expense Tracker Data'!V163</f>
        <v>0</v>
      </c>
      <c r="F165" s="15">
        <f t="shared" si="6"/>
        <v>0</v>
      </c>
      <c r="G165" s="15" t="str">
        <f>IF(AND(D165&gt;0,E165&gt;0),G164+Bottom_Line_Table[[#This Row],[Difference]],"N/A")</f>
        <v>N/A</v>
      </c>
    </row>
    <row r="166" spans="2:7" x14ac:dyDescent="0.3">
      <c r="B166" s="12">
        <v>48366</v>
      </c>
      <c r="C166" s="13">
        <f t="shared" si="7"/>
        <v>48395</v>
      </c>
      <c r="D166" s="14">
        <f>'Income Tracker Data'!V164</f>
        <v>0</v>
      </c>
      <c r="E166" s="15">
        <f>'Expense Tracker Data'!V164</f>
        <v>0</v>
      </c>
      <c r="F166" s="15">
        <f t="shared" si="6"/>
        <v>0</v>
      </c>
      <c r="G166" s="15" t="str">
        <f>IF(AND(D166&gt;0,E166&gt;0),G165+Bottom_Line_Table[[#This Row],[Difference]],"N/A")</f>
        <v>N/A</v>
      </c>
    </row>
    <row r="167" spans="2:7" x14ac:dyDescent="0.3">
      <c r="B167" s="12">
        <v>48396</v>
      </c>
      <c r="C167" s="13">
        <f t="shared" si="7"/>
        <v>48426</v>
      </c>
      <c r="D167" s="14">
        <f>'Income Tracker Data'!V165</f>
        <v>0</v>
      </c>
      <c r="E167" s="15">
        <f>'Expense Tracker Data'!V165</f>
        <v>0</v>
      </c>
      <c r="F167" s="15">
        <f t="shared" si="6"/>
        <v>0</v>
      </c>
      <c r="G167" s="15" t="str">
        <f>IF(AND(D167&gt;0,E167&gt;0),G166+Bottom_Line_Table[[#This Row],[Difference]],"N/A")</f>
        <v>N/A</v>
      </c>
    </row>
    <row r="168" spans="2:7" x14ac:dyDescent="0.3">
      <c r="B168" s="12">
        <v>48427</v>
      </c>
      <c r="C168" s="13">
        <f t="shared" si="7"/>
        <v>48457</v>
      </c>
      <c r="D168" s="14">
        <f>'Income Tracker Data'!V166</f>
        <v>0</v>
      </c>
      <c r="E168" s="15">
        <f>'Expense Tracker Data'!V166</f>
        <v>0</v>
      </c>
      <c r="F168" s="15">
        <f t="shared" si="6"/>
        <v>0</v>
      </c>
      <c r="G168" s="15" t="str">
        <f>IF(AND(D168&gt;0,E168&gt;0),G167+Bottom_Line_Table[[#This Row],[Difference]],"N/A")</f>
        <v>N/A</v>
      </c>
    </row>
    <row r="169" spans="2:7" x14ac:dyDescent="0.3">
      <c r="B169" s="12">
        <v>48458</v>
      </c>
      <c r="C169" s="13">
        <f t="shared" si="7"/>
        <v>48487</v>
      </c>
      <c r="D169" s="14">
        <f>'Income Tracker Data'!V167</f>
        <v>0</v>
      </c>
      <c r="E169" s="15">
        <f>'Expense Tracker Data'!V167</f>
        <v>0</v>
      </c>
      <c r="F169" s="15">
        <f t="shared" si="6"/>
        <v>0</v>
      </c>
      <c r="G169" s="15" t="str">
        <f>IF(AND(D169&gt;0,E169&gt;0),G168+Bottom_Line_Table[[#This Row],[Difference]],"N/A")</f>
        <v>N/A</v>
      </c>
    </row>
    <row r="170" spans="2:7" x14ac:dyDescent="0.3">
      <c r="B170" s="12">
        <v>48488</v>
      </c>
      <c r="C170" s="13">
        <f t="shared" si="7"/>
        <v>48518</v>
      </c>
      <c r="D170" s="14">
        <f>'Income Tracker Data'!V168</f>
        <v>0</v>
      </c>
      <c r="E170" s="15">
        <f>'Expense Tracker Data'!V168</f>
        <v>0</v>
      </c>
      <c r="F170" s="15">
        <f t="shared" si="6"/>
        <v>0</v>
      </c>
      <c r="G170" s="15" t="str">
        <f>IF(AND(D170&gt;0,E170&gt;0),G169+Bottom_Line_Table[[#This Row],[Difference]],"N/A")</f>
        <v>N/A</v>
      </c>
    </row>
    <row r="171" spans="2:7" x14ac:dyDescent="0.3">
      <c r="B171" s="12">
        <v>48519</v>
      </c>
      <c r="C171" s="13">
        <f t="shared" si="7"/>
        <v>48548</v>
      </c>
      <c r="D171" s="14">
        <f>'Income Tracker Data'!V169</f>
        <v>0</v>
      </c>
      <c r="E171" s="15">
        <f>'Expense Tracker Data'!V169</f>
        <v>0</v>
      </c>
      <c r="F171" s="15">
        <f t="shared" si="6"/>
        <v>0</v>
      </c>
      <c r="G171" s="15" t="str">
        <f>IF(AND(D171&gt;0,E171&gt;0),G170+Bottom_Line_Table[[#This Row],[Difference]],"N/A")</f>
        <v>N/A</v>
      </c>
    </row>
    <row r="172" spans="2:7" x14ac:dyDescent="0.3">
      <c r="B172" s="12">
        <v>48549</v>
      </c>
      <c r="C172" s="13">
        <f t="shared" si="7"/>
        <v>48579</v>
      </c>
      <c r="D172" s="14">
        <f>'Income Tracker Data'!V170</f>
        <v>0</v>
      </c>
      <c r="E172" s="15">
        <f>'Expense Tracker Data'!V170</f>
        <v>0</v>
      </c>
      <c r="F172" s="15">
        <f t="shared" si="6"/>
        <v>0</v>
      </c>
      <c r="G172" s="15" t="str">
        <f>IF(AND(D172&gt;0,E172&gt;0),G171+Bottom_Line_Table[[#This Row],[Difference]],"N/A")</f>
        <v>N/A</v>
      </c>
    </row>
    <row r="173" spans="2:7" x14ac:dyDescent="0.3">
      <c r="B173" s="12">
        <v>48580</v>
      </c>
      <c r="C173" s="13">
        <f t="shared" si="7"/>
        <v>48610</v>
      </c>
      <c r="D173" s="14">
        <f>'Income Tracker Data'!V171</f>
        <v>0</v>
      </c>
      <c r="E173" s="15">
        <f>'Expense Tracker Data'!V171</f>
        <v>0</v>
      </c>
      <c r="F173" s="15">
        <f t="shared" si="6"/>
        <v>0</v>
      </c>
      <c r="G173" s="15" t="str">
        <f>IF(AND(D173&gt;0,E173&gt;0),G172+Bottom_Line_Table[[#This Row],[Difference]],"N/A")</f>
        <v>N/A</v>
      </c>
    </row>
    <row r="174" spans="2:7" x14ac:dyDescent="0.3">
      <c r="B174" s="12">
        <v>48611</v>
      </c>
      <c r="C174" s="13">
        <f t="shared" si="7"/>
        <v>48638</v>
      </c>
      <c r="D174" s="14">
        <f>'Income Tracker Data'!V172</f>
        <v>0</v>
      </c>
      <c r="E174" s="15">
        <f>'Expense Tracker Data'!V172</f>
        <v>0</v>
      </c>
      <c r="F174" s="15">
        <f t="shared" si="6"/>
        <v>0</v>
      </c>
      <c r="G174" s="15" t="str">
        <f>IF(AND(D174&gt;0,E174&gt;0),G173+Bottom_Line_Table[[#This Row],[Difference]],"N/A")</f>
        <v>N/A</v>
      </c>
    </row>
    <row r="175" spans="2:7" x14ac:dyDescent="0.3">
      <c r="B175" s="12">
        <v>48639</v>
      </c>
      <c r="C175" s="13">
        <f t="shared" si="7"/>
        <v>48669</v>
      </c>
      <c r="D175" s="14">
        <f>'Income Tracker Data'!V173</f>
        <v>0</v>
      </c>
      <c r="E175" s="15">
        <f>'Expense Tracker Data'!V173</f>
        <v>0</v>
      </c>
      <c r="F175" s="15">
        <f t="shared" si="6"/>
        <v>0</v>
      </c>
      <c r="G175" s="15" t="str">
        <f>IF(AND(D175&gt;0,E175&gt;0),G174+Bottom_Line_Table[[#This Row],[Difference]],"N/A")</f>
        <v>N/A</v>
      </c>
    </row>
    <row r="176" spans="2:7" x14ac:dyDescent="0.3">
      <c r="B176" s="12">
        <v>48670</v>
      </c>
      <c r="C176" s="13">
        <f t="shared" si="7"/>
        <v>48699</v>
      </c>
      <c r="D176" s="14">
        <f>'Income Tracker Data'!V174</f>
        <v>0</v>
      </c>
      <c r="E176" s="15">
        <f>'Expense Tracker Data'!V174</f>
        <v>0</v>
      </c>
      <c r="F176" s="15">
        <f t="shared" si="6"/>
        <v>0</v>
      </c>
      <c r="G176" s="15" t="str">
        <f>IF(AND(D176&gt;0,E176&gt;0),G175+Bottom_Line_Table[[#This Row],[Difference]],"N/A")</f>
        <v>N/A</v>
      </c>
    </row>
    <row r="177" spans="2:7" x14ac:dyDescent="0.3">
      <c r="B177" s="12">
        <v>48700</v>
      </c>
      <c r="C177" s="13">
        <f t="shared" si="7"/>
        <v>48730</v>
      </c>
      <c r="D177" s="14">
        <f>'Income Tracker Data'!V175</f>
        <v>0</v>
      </c>
      <c r="E177" s="15">
        <f>'Expense Tracker Data'!V175</f>
        <v>0</v>
      </c>
      <c r="F177" s="15">
        <f t="shared" si="6"/>
        <v>0</v>
      </c>
      <c r="G177" s="15" t="str">
        <f>IF(AND(D177&gt;0,E177&gt;0),G176+Bottom_Line_Table[[#This Row],[Difference]],"N/A")</f>
        <v>N/A</v>
      </c>
    </row>
    <row r="178" spans="2:7" x14ac:dyDescent="0.3">
      <c r="B178" s="12">
        <v>48731</v>
      </c>
      <c r="C178" s="13">
        <f t="shared" si="7"/>
        <v>48760</v>
      </c>
      <c r="D178" s="14">
        <f>'Income Tracker Data'!V176</f>
        <v>0</v>
      </c>
      <c r="E178" s="15">
        <f>'Expense Tracker Data'!V176</f>
        <v>0</v>
      </c>
      <c r="F178" s="15">
        <f t="shared" si="6"/>
        <v>0</v>
      </c>
      <c r="G178" s="15" t="str">
        <f>IF(AND(D178&gt;0,E178&gt;0),G177+Bottom_Line_Table[[#This Row],[Difference]],"N/A")</f>
        <v>N/A</v>
      </c>
    </row>
    <row r="179" spans="2:7" x14ac:dyDescent="0.3">
      <c r="B179" s="12">
        <v>48761</v>
      </c>
      <c r="C179" s="13">
        <f t="shared" si="7"/>
        <v>48791</v>
      </c>
      <c r="D179" s="14">
        <f>'Income Tracker Data'!V177</f>
        <v>0</v>
      </c>
      <c r="E179" s="15">
        <f>'Expense Tracker Data'!V177</f>
        <v>0</v>
      </c>
      <c r="F179" s="15">
        <f t="shared" si="6"/>
        <v>0</v>
      </c>
      <c r="G179" s="15" t="str">
        <f>IF(AND(D179&gt;0,E179&gt;0),G178+Bottom_Line_Table[[#This Row],[Difference]],"N/A")</f>
        <v>N/A</v>
      </c>
    </row>
    <row r="180" spans="2:7" x14ac:dyDescent="0.3">
      <c r="B180" s="12">
        <v>48792</v>
      </c>
      <c r="C180" s="13">
        <f t="shared" si="7"/>
        <v>48822</v>
      </c>
      <c r="D180" s="14">
        <f>'Income Tracker Data'!V178</f>
        <v>0</v>
      </c>
      <c r="E180" s="15">
        <f>'Expense Tracker Data'!V178</f>
        <v>0</v>
      </c>
      <c r="F180" s="15">
        <f t="shared" si="6"/>
        <v>0</v>
      </c>
      <c r="G180" s="15" t="str">
        <f>IF(AND(D180&gt;0,E180&gt;0),G179+Bottom_Line_Table[[#This Row],[Difference]],"N/A")</f>
        <v>N/A</v>
      </c>
    </row>
    <row r="181" spans="2:7" x14ac:dyDescent="0.3">
      <c r="B181" s="12">
        <v>48823</v>
      </c>
      <c r="C181" s="13">
        <f t="shared" si="7"/>
        <v>48852</v>
      </c>
      <c r="D181" s="14">
        <f>'Income Tracker Data'!V179</f>
        <v>0</v>
      </c>
      <c r="E181" s="15">
        <f>'Expense Tracker Data'!V179</f>
        <v>0</v>
      </c>
      <c r="F181" s="15">
        <f t="shared" si="6"/>
        <v>0</v>
      </c>
      <c r="G181" s="15" t="str">
        <f>IF(AND(D181&gt;0,E181&gt;0),G180+Bottom_Line_Table[[#This Row],[Difference]],"N/A")</f>
        <v>N/A</v>
      </c>
    </row>
    <row r="182" spans="2:7" x14ac:dyDescent="0.3">
      <c r="B182" s="12">
        <v>48853</v>
      </c>
      <c r="C182" s="13">
        <f t="shared" si="7"/>
        <v>48883</v>
      </c>
      <c r="D182" s="14">
        <f>'Income Tracker Data'!V180</f>
        <v>0</v>
      </c>
      <c r="E182" s="15">
        <f>'Expense Tracker Data'!V180</f>
        <v>0</v>
      </c>
      <c r="F182" s="15">
        <f t="shared" si="6"/>
        <v>0</v>
      </c>
      <c r="G182" s="15" t="str">
        <f>IF(AND(D182&gt;0,E182&gt;0),G181+Bottom_Line_Table[[#This Row],[Difference]],"N/A")</f>
        <v>N/A</v>
      </c>
    </row>
    <row r="183" spans="2:7" x14ac:dyDescent="0.3">
      <c r="B183" s="12">
        <v>48884</v>
      </c>
      <c r="C183" s="13">
        <f t="shared" si="7"/>
        <v>48913</v>
      </c>
      <c r="D183" s="14">
        <f>'Income Tracker Data'!V181</f>
        <v>0</v>
      </c>
      <c r="E183" s="15">
        <f>'Expense Tracker Data'!V181</f>
        <v>0</v>
      </c>
      <c r="F183" s="15">
        <f t="shared" si="6"/>
        <v>0</v>
      </c>
      <c r="G183" s="15" t="str">
        <f>IF(AND(D183&gt;0,E183&gt;0),G182+Bottom_Line_Table[[#This Row],[Difference]],"N/A")</f>
        <v>N/A</v>
      </c>
    </row>
    <row r="184" spans="2:7" x14ac:dyDescent="0.3">
      <c r="B184" s="12">
        <v>48914</v>
      </c>
      <c r="C184" s="13">
        <f t="shared" si="7"/>
        <v>48944</v>
      </c>
      <c r="D184" s="14">
        <f>'Income Tracker Data'!V182</f>
        <v>0</v>
      </c>
      <c r="E184" s="15">
        <f>'Expense Tracker Data'!V182</f>
        <v>0</v>
      </c>
      <c r="F184" s="15">
        <f t="shared" si="6"/>
        <v>0</v>
      </c>
      <c r="G184" s="15" t="str">
        <f>IF(AND(D184&gt;0,E184&gt;0),G183+Bottom_Line_Table[[#This Row],[Difference]],"N/A")</f>
        <v>N/A</v>
      </c>
    </row>
    <row r="185" spans="2:7" x14ac:dyDescent="0.3">
      <c r="B185" s="12">
        <v>48945</v>
      </c>
      <c r="C185" s="13">
        <f t="shared" si="7"/>
        <v>48975</v>
      </c>
      <c r="D185" s="14">
        <f>'Income Tracker Data'!V183</f>
        <v>0</v>
      </c>
      <c r="E185" s="15">
        <f>'Expense Tracker Data'!V183</f>
        <v>0</v>
      </c>
      <c r="F185" s="15">
        <f t="shared" si="6"/>
        <v>0</v>
      </c>
      <c r="G185" s="15" t="str">
        <f>IF(AND(D185&gt;0,E185&gt;0),G184+Bottom_Line_Table[[#This Row],[Difference]],"N/A")</f>
        <v>N/A</v>
      </c>
    </row>
    <row r="186" spans="2:7" x14ac:dyDescent="0.3">
      <c r="B186" s="12">
        <v>48976</v>
      </c>
      <c r="C186" s="13">
        <f t="shared" si="7"/>
        <v>49003</v>
      </c>
      <c r="D186" s="14">
        <f>'Income Tracker Data'!V184</f>
        <v>0</v>
      </c>
      <c r="E186" s="15">
        <f>'Expense Tracker Data'!V184</f>
        <v>0</v>
      </c>
      <c r="F186" s="15">
        <f t="shared" si="6"/>
        <v>0</v>
      </c>
      <c r="G186" s="15" t="str">
        <f>IF(AND(D186&gt;0,E186&gt;0),G185+Bottom_Line_Table[[#This Row],[Difference]],"N/A")</f>
        <v>N/A</v>
      </c>
    </row>
    <row r="187" spans="2:7" x14ac:dyDescent="0.3">
      <c r="B187" s="12">
        <v>49004</v>
      </c>
      <c r="C187" s="13">
        <f t="shared" si="7"/>
        <v>49034</v>
      </c>
      <c r="D187" s="14">
        <f>'Income Tracker Data'!V185</f>
        <v>0</v>
      </c>
      <c r="E187" s="15">
        <f>'Expense Tracker Data'!V185</f>
        <v>0</v>
      </c>
      <c r="F187" s="15">
        <f t="shared" si="6"/>
        <v>0</v>
      </c>
      <c r="G187" s="15" t="str">
        <f>IF(AND(D187&gt;0,E187&gt;0),G186+Bottom_Line_Table[[#This Row],[Difference]],"N/A")</f>
        <v>N/A</v>
      </c>
    </row>
    <row r="188" spans="2:7" x14ac:dyDescent="0.3">
      <c r="B188" s="12">
        <v>49035</v>
      </c>
      <c r="C188" s="13">
        <f t="shared" si="7"/>
        <v>49064</v>
      </c>
      <c r="D188" s="14">
        <f>'Income Tracker Data'!V186</f>
        <v>0</v>
      </c>
      <c r="E188" s="15">
        <f>'Expense Tracker Data'!V186</f>
        <v>0</v>
      </c>
      <c r="F188" s="15">
        <f t="shared" si="6"/>
        <v>0</v>
      </c>
      <c r="G188" s="15" t="str">
        <f>IF(AND(D188&gt;0,E188&gt;0),G187+Bottom_Line_Table[[#This Row],[Difference]],"N/A")</f>
        <v>N/A</v>
      </c>
    </row>
    <row r="189" spans="2:7" x14ac:dyDescent="0.3">
      <c r="B189" s="12">
        <v>49065</v>
      </c>
      <c r="C189" s="13">
        <f t="shared" si="7"/>
        <v>49095</v>
      </c>
      <c r="D189" s="14">
        <f>'Income Tracker Data'!V187</f>
        <v>0</v>
      </c>
      <c r="E189" s="15">
        <f>'Expense Tracker Data'!V187</f>
        <v>0</v>
      </c>
      <c r="F189" s="15">
        <f t="shared" si="6"/>
        <v>0</v>
      </c>
      <c r="G189" s="15" t="str">
        <f>IF(AND(D189&gt;0,E189&gt;0),G188+Bottom_Line_Table[[#This Row],[Difference]],"N/A")</f>
        <v>N/A</v>
      </c>
    </row>
    <row r="190" spans="2:7" x14ac:dyDescent="0.3">
      <c r="B190" s="12">
        <v>49096</v>
      </c>
      <c r="C190" s="13">
        <f t="shared" si="7"/>
        <v>49125</v>
      </c>
      <c r="D190" s="14">
        <f>'Income Tracker Data'!V188</f>
        <v>0</v>
      </c>
      <c r="E190" s="15">
        <f>'Expense Tracker Data'!V188</f>
        <v>0</v>
      </c>
      <c r="F190" s="15">
        <f t="shared" si="6"/>
        <v>0</v>
      </c>
      <c r="G190" s="15" t="str">
        <f>IF(AND(D190&gt;0,E190&gt;0),G189+Bottom_Line_Table[[#This Row],[Difference]],"N/A")</f>
        <v>N/A</v>
      </c>
    </row>
    <row r="191" spans="2:7" x14ac:dyDescent="0.3">
      <c r="B191" s="12">
        <v>49126</v>
      </c>
      <c r="C191" s="13">
        <f t="shared" si="7"/>
        <v>49156</v>
      </c>
      <c r="D191" s="14">
        <f>'Income Tracker Data'!V189</f>
        <v>0</v>
      </c>
      <c r="E191" s="15">
        <f>'Expense Tracker Data'!V189</f>
        <v>0</v>
      </c>
      <c r="F191" s="15">
        <f t="shared" si="6"/>
        <v>0</v>
      </c>
      <c r="G191" s="15" t="str">
        <f>IF(AND(D191&gt;0,E191&gt;0),G190+Bottom_Line_Table[[#This Row],[Difference]],"N/A")</f>
        <v>N/A</v>
      </c>
    </row>
    <row r="192" spans="2:7" x14ac:dyDescent="0.3">
      <c r="B192" s="12">
        <v>49157</v>
      </c>
      <c r="C192" s="13">
        <f t="shared" si="7"/>
        <v>49187</v>
      </c>
      <c r="D192" s="14">
        <f>'Income Tracker Data'!V190</f>
        <v>0</v>
      </c>
      <c r="E192" s="15">
        <f>'Expense Tracker Data'!V190</f>
        <v>0</v>
      </c>
      <c r="F192" s="15">
        <f t="shared" si="6"/>
        <v>0</v>
      </c>
      <c r="G192" s="15" t="str">
        <f>IF(AND(D192&gt;0,E192&gt;0),G191+Bottom_Line_Table[[#This Row],[Difference]],"N/A")</f>
        <v>N/A</v>
      </c>
    </row>
    <row r="193" spans="2:7" x14ac:dyDescent="0.3">
      <c r="B193" s="12">
        <v>49188</v>
      </c>
      <c r="C193" s="13">
        <f t="shared" si="7"/>
        <v>49217</v>
      </c>
      <c r="D193" s="14">
        <f>'Income Tracker Data'!V191</f>
        <v>0</v>
      </c>
      <c r="E193" s="15">
        <f>'Expense Tracker Data'!V191</f>
        <v>0</v>
      </c>
      <c r="F193" s="15">
        <f t="shared" si="6"/>
        <v>0</v>
      </c>
      <c r="G193" s="15" t="str">
        <f>IF(AND(D193&gt;0,E193&gt;0),G192+Bottom_Line_Table[[#This Row],[Difference]],"N/A")</f>
        <v>N/A</v>
      </c>
    </row>
    <row r="194" spans="2:7" x14ac:dyDescent="0.3">
      <c r="B194" s="12">
        <v>49218</v>
      </c>
      <c r="C194" s="13">
        <f t="shared" si="7"/>
        <v>49248</v>
      </c>
      <c r="D194" s="14">
        <f>'Income Tracker Data'!V192</f>
        <v>0</v>
      </c>
      <c r="E194" s="15">
        <f>'Expense Tracker Data'!V192</f>
        <v>0</v>
      </c>
      <c r="F194" s="15">
        <f t="shared" si="6"/>
        <v>0</v>
      </c>
      <c r="G194" s="15" t="str">
        <f>IF(AND(D194&gt;0,E194&gt;0),G193+Bottom_Line_Table[[#This Row],[Difference]],"N/A")</f>
        <v>N/A</v>
      </c>
    </row>
    <row r="195" spans="2:7" x14ac:dyDescent="0.3">
      <c r="B195" s="12">
        <v>49249</v>
      </c>
      <c r="C195" s="13">
        <f t="shared" si="7"/>
        <v>49278</v>
      </c>
      <c r="D195" s="14">
        <f>'Income Tracker Data'!V193</f>
        <v>0</v>
      </c>
      <c r="E195" s="15">
        <f>'Expense Tracker Data'!V193</f>
        <v>0</v>
      </c>
      <c r="F195" s="15">
        <f t="shared" si="6"/>
        <v>0</v>
      </c>
      <c r="G195" s="15" t="str">
        <f>IF(AND(D195&gt;0,E195&gt;0),G194+Bottom_Line_Table[[#This Row],[Difference]],"N/A")</f>
        <v>N/A</v>
      </c>
    </row>
    <row r="196" spans="2:7" x14ac:dyDescent="0.3">
      <c r="B196" s="12">
        <v>49279</v>
      </c>
      <c r="C196" s="13">
        <f t="shared" si="7"/>
        <v>49309</v>
      </c>
      <c r="D196" s="14">
        <f>'Income Tracker Data'!V194</f>
        <v>0</v>
      </c>
      <c r="E196" s="15">
        <f>'Expense Tracker Data'!V194</f>
        <v>0</v>
      </c>
      <c r="F196" s="15">
        <f t="shared" si="6"/>
        <v>0</v>
      </c>
      <c r="G196" s="15" t="str">
        <f>IF(AND(D196&gt;0,E196&gt;0),G195+Bottom_Line_Table[[#This Row],[Difference]],"N/A")</f>
        <v>N/A</v>
      </c>
    </row>
    <row r="197" spans="2:7" x14ac:dyDescent="0.3">
      <c r="B197" s="12">
        <v>49310</v>
      </c>
      <c r="C197" s="13">
        <f t="shared" si="7"/>
        <v>49340</v>
      </c>
      <c r="D197" s="14">
        <f>'Income Tracker Data'!V195</f>
        <v>0</v>
      </c>
      <c r="E197" s="15">
        <f>'Expense Tracker Data'!V195</f>
        <v>0</v>
      </c>
      <c r="F197" s="15">
        <f t="shared" si="6"/>
        <v>0</v>
      </c>
      <c r="G197" s="15" t="str">
        <f>IF(AND(D197&gt;0,E197&gt;0),G196+Bottom_Line_Table[[#This Row],[Difference]],"N/A")</f>
        <v>N/A</v>
      </c>
    </row>
    <row r="198" spans="2:7" x14ac:dyDescent="0.3">
      <c r="B198" s="12">
        <v>49341</v>
      </c>
      <c r="C198" s="13">
        <f t="shared" si="7"/>
        <v>49368</v>
      </c>
      <c r="D198" s="14">
        <f>'Income Tracker Data'!V196</f>
        <v>0</v>
      </c>
      <c r="E198" s="15">
        <f>'Expense Tracker Data'!V196</f>
        <v>0</v>
      </c>
      <c r="F198" s="15">
        <f t="shared" ref="F198:F261" si="8">D198-E198</f>
        <v>0</v>
      </c>
      <c r="G198" s="15" t="str">
        <f>IF(AND(D198&gt;0,E198&gt;0),G197+Bottom_Line_Table[[#This Row],[Difference]],"N/A")</f>
        <v>N/A</v>
      </c>
    </row>
    <row r="199" spans="2:7" x14ac:dyDescent="0.3">
      <c r="B199" s="12">
        <v>49369</v>
      </c>
      <c r="C199" s="13">
        <f t="shared" si="7"/>
        <v>49399</v>
      </c>
      <c r="D199" s="14">
        <f>'Income Tracker Data'!V197</f>
        <v>0</v>
      </c>
      <c r="E199" s="15">
        <f>'Expense Tracker Data'!V197</f>
        <v>0</v>
      </c>
      <c r="F199" s="15">
        <f t="shared" si="8"/>
        <v>0</v>
      </c>
      <c r="G199" s="15" t="str">
        <f>IF(AND(D199&gt;0,E199&gt;0),G198+Bottom_Line_Table[[#This Row],[Difference]],"N/A")</f>
        <v>N/A</v>
      </c>
    </row>
    <row r="200" spans="2:7" x14ac:dyDescent="0.3">
      <c r="B200" s="12">
        <v>49400</v>
      </c>
      <c r="C200" s="13">
        <f t="shared" si="7"/>
        <v>49429</v>
      </c>
      <c r="D200" s="14">
        <f>'Income Tracker Data'!V198</f>
        <v>0</v>
      </c>
      <c r="E200" s="15">
        <f>'Expense Tracker Data'!V198</f>
        <v>0</v>
      </c>
      <c r="F200" s="15">
        <f t="shared" si="8"/>
        <v>0</v>
      </c>
      <c r="G200" s="15" t="str">
        <f>IF(AND(D200&gt;0,E200&gt;0),G199+Bottom_Line_Table[[#This Row],[Difference]],"N/A")</f>
        <v>N/A</v>
      </c>
    </row>
    <row r="201" spans="2:7" x14ac:dyDescent="0.3">
      <c r="B201" s="12">
        <v>49430</v>
      </c>
      <c r="C201" s="13">
        <f t="shared" si="7"/>
        <v>49460</v>
      </c>
      <c r="D201" s="14">
        <f>'Income Tracker Data'!V199</f>
        <v>0</v>
      </c>
      <c r="E201" s="15">
        <f>'Expense Tracker Data'!V199</f>
        <v>0</v>
      </c>
      <c r="F201" s="15">
        <f t="shared" si="8"/>
        <v>0</v>
      </c>
      <c r="G201" s="15" t="str">
        <f>IF(AND(D201&gt;0,E201&gt;0),G200+Bottom_Line_Table[[#This Row],[Difference]],"N/A")</f>
        <v>N/A</v>
      </c>
    </row>
    <row r="202" spans="2:7" x14ac:dyDescent="0.3">
      <c r="B202" s="12">
        <v>49461</v>
      </c>
      <c r="C202" s="13">
        <f t="shared" si="7"/>
        <v>49490</v>
      </c>
      <c r="D202" s="14">
        <f>'Income Tracker Data'!V200</f>
        <v>0</v>
      </c>
      <c r="E202" s="15">
        <f>'Expense Tracker Data'!V200</f>
        <v>0</v>
      </c>
      <c r="F202" s="15">
        <f t="shared" si="8"/>
        <v>0</v>
      </c>
      <c r="G202" s="15" t="str">
        <f>IF(AND(D202&gt;0,E202&gt;0),G201+Bottom_Line_Table[[#This Row],[Difference]],"N/A")</f>
        <v>N/A</v>
      </c>
    </row>
    <row r="203" spans="2:7" x14ac:dyDescent="0.3">
      <c r="B203" s="12">
        <v>49491</v>
      </c>
      <c r="C203" s="13">
        <f t="shared" ref="C203:C266" si="9">EOMONTH(B203,0)</f>
        <v>49521</v>
      </c>
      <c r="D203" s="14">
        <f>'Income Tracker Data'!V201</f>
        <v>0</v>
      </c>
      <c r="E203" s="15">
        <f>'Expense Tracker Data'!V201</f>
        <v>0</v>
      </c>
      <c r="F203" s="15">
        <f t="shared" si="8"/>
        <v>0</v>
      </c>
      <c r="G203" s="15" t="str">
        <f>IF(AND(D203&gt;0,E203&gt;0),G202+Bottom_Line_Table[[#This Row],[Difference]],"N/A")</f>
        <v>N/A</v>
      </c>
    </row>
    <row r="204" spans="2:7" x14ac:dyDescent="0.3">
      <c r="B204" s="12">
        <v>49522</v>
      </c>
      <c r="C204" s="13">
        <f t="shared" si="9"/>
        <v>49552</v>
      </c>
      <c r="D204" s="14">
        <f>'Income Tracker Data'!V202</f>
        <v>0</v>
      </c>
      <c r="E204" s="15">
        <f>'Expense Tracker Data'!V202</f>
        <v>0</v>
      </c>
      <c r="F204" s="15">
        <f t="shared" si="8"/>
        <v>0</v>
      </c>
      <c r="G204" s="15" t="str">
        <f>IF(AND(D204&gt;0,E204&gt;0),G203+Bottom_Line_Table[[#This Row],[Difference]],"N/A")</f>
        <v>N/A</v>
      </c>
    </row>
    <row r="205" spans="2:7" x14ac:dyDescent="0.3">
      <c r="B205" s="12">
        <v>49553</v>
      </c>
      <c r="C205" s="13">
        <f t="shared" si="9"/>
        <v>49582</v>
      </c>
      <c r="D205" s="14">
        <f>'Income Tracker Data'!V203</f>
        <v>0</v>
      </c>
      <c r="E205" s="15">
        <f>'Expense Tracker Data'!V203</f>
        <v>0</v>
      </c>
      <c r="F205" s="15">
        <f t="shared" si="8"/>
        <v>0</v>
      </c>
      <c r="G205" s="15" t="str">
        <f>IF(AND(D205&gt;0,E205&gt;0),G204+Bottom_Line_Table[[#This Row],[Difference]],"N/A")</f>
        <v>N/A</v>
      </c>
    </row>
    <row r="206" spans="2:7" x14ac:dyDescent="0.3">
      <c r="B206" s="12">
        <v>49583</v>
      </c>
      <c r="C206" s="13">
        <f t="shared" si="9"/>
        <v>49613</v>
      </c>
      <c r="D206" s="14">
        <f>'Income Tracker Data'!V204</f>
        <v>0</v>
      </c>
      <c r="E206" s="15">
        <f>'Expense Tracker Data'!V204</f>
        <v>0</v>
      </c>
      <c r="F206" s="15">
        <f t="shared" si="8"/>
        <v>0</v>
      </c>
      <c r="G206" s="15" t="str">
        <f>IF(AND(D206&gt;0,E206&gt;0),G205+Bottom_Line_Table[[#This Row],[Difference]],"N/A")</f>
        <v>N/A</v>
      </c>
    </row>
    <row r="207" spans="2:7" x14ac:dyDescent="0.3">
      <c r="B207" s="12">
        <v>49614</v>
      </c>
      <c r="C207" s="13">
        <f t="shared" si="9"/>
        <v>49643</v>
      </c>
      <c r="D207" s="14">
        <f>'Income Tracker Data'!V205</f>
        <v>0</v>
      </c>
      <c r="E207" s="15">
        <f>'Expense Tracker Data'!V205</f>
        <v>0</v>
      </c>
      <c r="F207" s="15">
        <f t="shared" si="8"/>
        <v>0</v>
      </c>
      <c r="G207" s="15" t="str">
        <f>IF(AND(D207&gt;0,E207&gt;0),G206+Bottom_Line_Table[[#This Row],[Difference]],"N/A")</f>
        <v>N/A</v>
      </c>
    </row>
    <row r="208" spans="2:7" x14ac:dyDescent="0.3">
      <c r="B208" s="12">
        <v>49644</v>
      </c>
      <c r="C208" s="13">
        <f t="shared" si="9"/>
        <v>49674</v>
      </c>
      <c r="D208" s="14">
        <f>'Income Tracker Data'!V206</f>
        <v>0</v>
      </c>
      <c r="E208" s="15">
        <f>'Expense Tracker Data'!V206</f>
        <v>0</v>
      </c>
      <c r="F208" s="15">
        <f t="shared" si="8"/>
        <v>0</v>
      </c>
      <c r="G208" s="15" t="str">
        <f>IF(AND(D208&gt;0,E208&gt;0),G207+Bottom_Line_Table[[#This Row],[Difference]],"N/A")</f>
        <v>N/A</v>
      </c>
    </row>
    <row r="209" spans="2:7" x14ac:dyDescent="0.3">
      <c r="B209" s="12">
        <v>49675</v>
      </c>
      <c r="C209" s="13">
        <f t="shared" si="9"/>
        <v>49705</v>
      </c>
      <c r="D209" s="14">
        <f>'Income Tracker Data'!V207</f>
        <v>0</v>
      </c>
      <c r="E209" s="15">
        <f>'Expense Tracker Data'!V207</f>
        <v>0</v>
      </c>
      <c r="F209" s="15">
        <f t="shared" si="8"/>
        <v>0</v>
      </c>
      <c r="G209" s="15" t="str">
        <f>IF(AND(D209&gt;0,E209&gt;0),G208+Bottom_Line_Table[[#This Row],[Difference]],"N/A")</f>
        <v>N/A</v>
      </c>
    </row>
    <row r="210" spans="2:7" x14ac:dyDescent="0.3">
      <c r="B210" s="12">
        <v>49706</v>
      </c>
      <c r="C210" s="13">
        <f t="shared" si="9"/>
        <v>49734</v>
      </c>
      <c r="D210" s="14">
        <f>'Income Tracker Data'!V208</f>
        <v>0</v>
      </c>
      <c r="E210" s="15">
        <f>'Expense Tracker Data'!V208</f>
        <v>0</v>
      </c>
      <c r="F210" s="15">
        <f t="shared" si="8"/>
        <v>0</v>
      </c>
      <c r="G210" s="15" t="str">
        <f>IF(AND(D210&gt;0,E210&gt;0),G209+Bottom_Line_Table[[#This Row],[Difference]],"N/A")</f>
        <v>N/A</v>
      </c>
    </row>
    <row r="211" spans="2:7" x14ac:dyDescent="0.3">
      <c r="B211" s="12">
        <v>49735</v>
      </c>
      <c r="C211" s="13">
        <f t="shared" si="9"/>
        <v>49765</v>
      </c>
      <c r="D211" s="14">
        <f>'Income Tracker Data'!V209</f>
        <v>0</v>
      </c>
      <c r="E211" s="15">
        <f>'Expense Tracker Data'!V209</f>
        <v>0</v>
      </c>
      <c r="F211" s="15">
        <f t="shared" si="8"/>
        <v>0</v>
      </c>
      <c r="G211" s="15" t="str">
        <f>IF(AND(D211&gt;0,E211&gt;0),G210+Bottom_Line_Table[[#This Row],[Difference]],"N/A")</f>
        <v>N/A</v>
      </c>
    </row>
    <row r="212" spans="2:7" x14ac:dyDescent="0.3">
      <c r="B212" s="12">
        <v>49766</v>
      </c>
      <c r="C212" s="13">
        <f t="shared" si="9"/>
        <v>49795</v>
      </c>
      <c r="D212" s="14">
        <f>'Income Tracker Data'!V210</f>
        <v>0</v>
      </c>
      <c r="E212" s="15">
        <f>'Expense Tracker Data'!V210</f>
        <v>0</v>
      </c>
      <c r="F212" s="15">
        <f t="shared" si="8"/>
        <v>0</v>
      </c>
      <c r="G212" s="15" t="str">
        <f>IF(AND(D212&gt;0,E212&gt;0),G211+Bottom_Line_Table[[#This Row],[Difference]],"N/A")</f>
        <v>N/A</v>
      </c>
    </row>
    <row r="213" spans="2:7" x14ac:dyDescent="0.3">
      <c r="B213" s="12">
        <v>49796</v>
      </c>
      <c r="C213" s="13">
        <f t="shared" si="9"/>
        <v>49826</v>
      </c>
      <c r="D213" s="14">
        <f>'Income Tracker Data'!V211</f>
        <v>0</v>
      </c>
      <c r="E213" s="15">
        <f>'Expense Tracker Data'!V211</f>
        <v>0</v>
      </c>
      <c r="F213" s="15">
        <f t="shared" si="8"/>
        <v>0</v>
      </c>
      <c r="G213" s="15" t="str">
        <f>IF(AND(D213&gt;0,E213&gt;0),G212+Bottom_Line_Table[[#This Row],[Difference]],"N/A")</f>
        <v>N/A</v>
      </c>
    </row>
    <row r="214" spans="2:7" x14ac:dyDescent="0.3">
      <c r="B214" s="12">
        <v>49827</v>
      </c>
      <c r="C214" s="13">
        <f t="shared" si="9"/>
        <v>49856</v>
      </c>
      <c r="D214" s="14">
        <f>'Income Tracker Data'!V212</f>
        <v>0</v>
      </c>
      <c r="E214" s="15">
        <f>'Expense Tracker Data'!V212</f>
        <v>0</v>
      </c>
      <c r="F214" s="15">
        <f t="shared" si="8"/>
        <v>0</v>
      </c>
      <c r="G214" s="15" t="str">
        <f>IF(AND(D214&gt;0,E214&gt;0),G213+Bottom_Line_Table[[#This Row],[Difference]],"N/A")</f>
        <v>N/A</v>
      </c>
    </row>
    <row r="215" spans="2:7" x14ac:dyDescent="0.3">
      <c r="B215" s="12">
        <v>49857</v>
      </c>
      <c r="C215" s="13">
        <f t="shared" si="9"/>
        <v>49887</v>
      </c>
      <c r="D215" s="14">
        <f>'Income Tracker Data'!V213</f>
        <v>0</v>
      </c>
      <c r="E215" s="15">
        <f>'Expense Tracker Data'!V213</f>
        <v>0</v>
      </c>
      <c r="F215" s="15">
        <f t="shared" si="8"/>
        <v>0</v>
      </c>
      <c r="G215" s="15" t="str">
        <f>IF(AND(D215&gt;0,E215&gt;0),G214+Bottom_Line_Table[[#This Row],[Difference]],"N/A")</f>
        <v>N/A</v>
      </c>
    </row>
    <row r="216" spans="2:7" x14ac:dyDescent="0.3">
      <c r="B216" s="12">
        <v>49888</v>
      </c>
      <c r="C216" s="13">
        <f t="shared" si="9"/>
        <v>49918</v>
      </c>
      <c r="D216" s="14">
        <f>'Income Tracker Data'!V214</f>
        <v>0</v>
      </c>
      <c r="E216" s="15">
        <f>'Expense Tracker Data'!V214</f>
        <v>0</v>
      </c>
      <c r="F216" s="15">
        <f t="shared" si="8"/>
        <v>0</v>
      </c>
      <c r="G216" s="15" t="str">
        <f>IF(AND(D216&gt;0,E216&gt;0),G215+Bottom_Line_Table[[#This Row],[Difference]],"N/A")</f>
        <v>N/A</v>
      </c>
    </row>
    <row r="217" spans="2:7" x14ac:dyDescent="0.3">
      <c r="B217" s="12">
        <v>49919</v>
      </c>
      <c r="C217" s="13">
        <f t="shared" si="9"/>
        <v>49948</v>
      </c>
      <c r="D217" s="14">
        <f>'Income Tracker Data'!V215</f>
        <v>0</v>
      </c>
      <c r="E217" s="15">
        <f>'Expense Tracker Data'!V215</f>
        <v>0</v>
      </c>
      <c r="F217" s="15">
        <f t="shared" si="8"/>
        <v>0</v>
      </c>
      <c r="G217" s="15" t="str">
        <f>IF(AND(D217&gt;0,E217&gt;0),G216+Bottom_Line_Table[[#This Row],[Difference]],"N/A")</f>
        <v>N/A</v>
      </c>
    </row>
    <row r="218" spans="2:7" x14ac:dyDescent="0.3">
      <c r="B218" s="12">
        <v>49949</v>
      </c>
      <c r="C218" s="13">
        <f t="shared" si="9"/>
        <v>49979</v>
      </c>
      <c r="D218" s="14">
        <f>'Income Tracker Data'!V216</f>
        <v>0</v>
      </c>
      <c r="E218" s="15">
        <f>'Expense Tracker Data'!V216</f>
        <v>0</v>
      </c>
      <c r="F218" s="15">
        <f t="shared" si="8"/>
        <v>0</v>
      </c>
      <c r="G218" s="15" t="str">
        <f>IF(AND(D218&gt;0,E218&gt;0),G217+Bottom_Line_Table[[#This Row],[Difference]],"N/A")</f>
        <v>N/A</v>
      </c>
    </row>
    <row r="219" spans="2:7" x14ac:dyDescent="0.3">
      <c r="B219" s="12">
        <v>49980</v>
      </c>
      <c r="C219" s="13">
        <f t="shared" si="9"/>
        <v>50009</v>
      </c>
      <c r="D219" s="14">
        <f>'Income Tracker Data'!V217</f>
        <v>0</v>
      </c>
      <c r="E219" s="15">
        <f>'Expense Tracker Data'!V217</f>
        <v>0</v>
      </c>
      <c r="F219" s="15">
        <f t="shared" si="8"/>
        <v>0</v>
      </c>
      <c r="G219" s="15" t="str">
        <f>IF(AND(D219&gt;0,E219&gt;0),G218+Bottom_Line_Table[[#This Row],[Difference]],"N/A")</f>
        <v>N/A</v>
      </c>
    </row>
    <row r="220" spans="2:7" x14ac:dyDescent="0.3">
      <c r="B220" s="12">
        <v>50010</v>
      </c>
      <c r="C220" s="13">
        <f t="shared" si="9"/>
        <v>50040</v>
      </c>
      <c r="D220" s="14">
        <f>'Income Tracker Data'!V218</f>
        <v>0</v>
      </c>
      <c r="E220" s="15">
        <f>'Expense Tracker Data'!V218</f>
        <v>0</v>
      </c>
      <c r="F220" s="15">
        <f t="shared" si="8"/>
        <v>0</v>
      </c>
      <c r="G220" s="15" t="str">
        <f>IF(AND(D220&gt;0,E220&gt;0),G219+Bottom_Line_Table[[#This Row],[Difference]],"N/A")</f>
        <v>N/A</v>
      </c>
    </row>
    <row r="221" spans="2:7" x14ac:dyDescent="0.3">
      <c r="B221" s="12">
        <v>50041</v>
      </c>
      <c r="C221" s="13">
        <f t="shared" si="9"/>
        <v>50071</v>
      </c>
      <c r="D221" s="14">
        <f>'Income Tracker Data'!V219</f>
        <v>0</v>
      </c>
      <c r="E221" s="15">
        <f>'Expense Tracker Data'!V219</f>
        <v>0</v>
      </c>
      <c r="F221" s="15">
        <f t="shared" si="8"/>
        <v>0</v>
      </c>
      <c r="G221" s="15" t="str">
        <f>IF(AND(D221&gt;0,E221&gt;0),G220+Bottom_Line_Table[[#This Row],[Difference]],"N/A")</f>
        <v>N/A</v>
      </c>
    </row>
    <row r="222" spans="2:7" x14ac:dyDescent="0.3">
      <c r="B222" s="12">
        <v>50072</v>
      </c>
      <c r="C222" s="13">
        <f t="shared" si="9"/>
        <v>50099</v>
      </c>
      <c r="D222" s="14">
        <f>'Income Tracker Data'!V220</f>
        <v>0</v>
      </c>
      <c r="E222" s="15">
        <f>'Expense Tracker Data'!V220</f>
        <v>0</v>
      </c>
      <c r="F222" s="15">
        <f t="shared" si="8"/>
        <v>0</v>
      </c>
      <c r="G222" s="15" t="str">
        <f>IF(AND(D222&gt;0,E222&gt;0),G221+Bottom_Line_Table[[#This Row],[Difference]],"N/A")</f>
        <v>N/A</v>
      </c>
    </row>
    <row r="223" spans="2:7" x14ac:dyDescent="0.3">
      <c r="B223" s="12">
        <v>50100</v>
      </c>
      <c r="C223" s="13">
        <f t="shared" si="9"/>
        <v>50130</v>
      </c>
      <c r="D223" s="14">
        <f>'Income Tracker Data'!V221</f>
        <v>0</v>
      </c>
      <c r="E223" s="15">
        <f>'Expense Tracker Data'!V221</f>
        <v>0</v>
      </c>
      <c r="F223" s="15">
        <f t="shared" si="8"/>
        <v>0</v>
      </c>
      <c r="G223" s="15" t="str">
        <f>IF(AND(D223&gt;0,E223&gt;0),G222+Bottom_Line_Table[[#This Row],[Difference]],"N/A")</f>
        <v>N/A</v>
      </c>
    </row>
    <row r="224" spans="2:7" x14ac:dyDescent="0.3">
      <c r="B224" s="12">
        <v>50131</v>
      </c>
      <c r="C224" s="13">
        <f t="shared" si="9"/>
        <v>50160</v>
      </c>
      <c r="D224" s="14">
        <f>'Income Tracker Data'!V222</f>
        <v>0</v>
      </c>
      <c r="E224" s="15">
        <f>'Expense Tracker Data'!V222</f>
        <v>0</v>
      </c>
      <c r="F224" s="15">
        <f t="shared" si="8"/>
        <v>0</v>
      </c>
      <c r="G224" s="15" t="str">
        <f>IF(AND(D224&gt;0,E224&gt;0),G223+Bottom_Line_Table[[#This Row],[Difference]],"N/A")</f>
        <v>N/A</v>
      </c>
    </row>
    <row r="225" spans="2:7" x14ac:dyDescent="0.3">
      <c r="B225" s="12">
        <v>50161</v>
      </c>
      <c r="C225" s="13">
        <f t="shared" si="9"/>
        <v>50191</v>
      </c>
      <c r="D225" s="14">
        <f>'Income Tracker Data'!V223</f>
        <v>0</v>
      </c>
      <c r="E225" s="15">
        <f>'Expense Tracker Data'!V223</f>
        <v>0</v>
      </c>
      <c r="F225" s="15">
        <f t="shared" si="8"/>
        <v>0</v>
      </c>
      <c r="G225" s="15" t="str">
        <f>IF(AND(D225&gt;0,E225&gt;0),G224+Bottom_Line_Table[[#This Row],[Difference]],"N/A")</f>
        <v>N/A</v>
      </c>
    </row>
    <row r="226" spans="2:7" x14ac:dyDescent="0.3">
      <c r="B226" s="12">
        <v>50192</v>
      </c>
      <c r="C226" s="13">
        <f t="shared" si="9"/>
        <v>50221</v>
      </c>
      <c r="D226" s="14">
        <f>'Income Tracker Data'!V224</f>
        <v>0</v>
      </c>
      <c r="E226" s="15">
        <f>'Expense Tracker Data'!V224</f>
        <v>0</v>
      </c>
      <c r="F226" s="15">
        <f t="shared" si="8"/>
        <v>0</v>
      </c>
      <c r="G226" s="15" t="str">
        <f>IF(AND(D226&gt;0,E226&gt;0),G225+Bottom_Line_Table[[#This Row],[Difference]],"N/A")</f>
        <v>N/A</v>
      </c>
    </row>
    <row r="227" spans="2:7" x14ac:dyDescent="0.3">
      <c r="B227" s="12">
        <v>50222</v>
      </c>
      <c r="C227" s="13">
        <f t="shared" si="9"/>
        <v>50252</v>
      </c>
      <c r="D227" s="14">
        <f>'Income Tracker Data'!V225</f>
        <v>0</v>
      </c>
      <c r="E227" s="15">
        <f>'Expense Tracker Data'!V225</f>
        <v>0</v>
      </c>
      <c r="F227" s="15">
        <f t="shared" si="8"/>
        <v>0</v>
      </c>
      <c r="G227" s="15" t="str">
        <f>IF(AND(D227&gt;0,E227&gt;0),G226+Bottom_Line_Table[[#This Row],[Difference]],"N/A")</f>
        <v>N/A</v>
      </c>
    </row>
    <row r="228" spans="2:7" x14ac:dyDescent="0.3">
      <c r="B228" s="12">
        <v>50253</v>
      </c>
      <c r="C228" s="13">
        <f t="shared" si="9"/>
        <v>50283</v>
      </c>
      <c r="D228" s="14">
        <f>'Income Tracker Data'!V226</f>
        <v>0</v>
      </c>
      <c r="E228" s="15">
        <f>'Expense Tracker Data'!V226</f>
        <v>0</v>
      </c>
      <c r="F228" s="15">
        <f t="shared" si="8"/>
        <v>0</v>
      </c>
      <c r="G228" s="15" t="str">
        <f>IF(AND(D228&gt;0,E228&gt;0),G227+Bottom_Line_Table[[#This Row],[Difference]],"N/A")</f>
        <v>N/A</v>
      </c>
    </row>
    <row r="229" spans="2:7" x14ac:dyDescent="0.3">
      <c r="B229" s="12">
        <v>50284</v>
      </c>
      <c r="C229" s="13">
        <f t="shared" si="9"/>
        <v>50313</v>
      </c>
      <c r="D229" s="14">
        <f>'Income Tracker Data'!V227</f>
        <v>0</v>
      </c>
      <c r="E229" s="15">
        <f>'Expense Tracker Data'!V227</f>
        <v>0</v>
      </c>
      <c r="F229" s="15">
        <f t="shared" si="8"/>
        <v>0</v>
      </c>
      <c r="G229" s="15" t="str">
        <f>IF(AND(D229&gt;0,E229&gt;0),G228+Bottom_Line_Table[[#This Row],[Difference]],"N/A")</f>
        <v>N/A</v>
      </c>
    </row>
    <row r="230" spans="2:7" x14ac:dyDescent="0.3">
      <c r="B230" s="12">
        <v>50314</v>
      </c>
      <c r="C230" s="13">
        <f t="shared" si="9"/>
        <v>50344</v>
      </c>
      <c r="D230" s="14">
        <f>'Income Tracker Data'!V228</f>
        <v>0</v>
      </c>
      <c r="E230" s="15">
        <f>'Expense Tracker Data'!V228</f>
        <v>0</v>
      </c>
      <c r="F230" s="15">
        <f t="shared" si="8"/>
        <v>0</v>
      </c>
      <c r="G230" s="15" t="str">
        <f>IF(AND(D230&gt;0,E230&gt;0),G229+Bottom_Line_Table[[#This Row],[Difference]],"N/A")</f>
        <v>N/A</v>
      </c>
    </row>
    <row r="231" spans="2:7" x14ac:dyDescent="0.3">
      <c r="B231" s="12">
        <v>50345</v>
      </c>
      <c r="C231" s="13">
        <f t="shared" si="9"/>
        <v>50374</v>
      </c>
      <c r="D231" s="14">
        <f>'Income Tracker Data'!V229</f>
        <v>0</v>
      </c>
      <c r="E231" s="15">
        <f>'Expense Tracker Data'!V229</f>
        <v>0</v>
      </c>
      <c r="F231" s="15">
        <f t="shared" si="8"/>
        <v>0</v>
      </c>
      <c r="G231" s="15" t="str">
        <f>IF(AND(D231&gt;0,E231&gt;0),G230+Bottom_Line_Table[[#This Row],[Difference]],"N/A")</f>
        <v>N/A</v>
      </c>
    </row>
    <row r="232" spans="2:7" x14ac:dyDescent="0.3">
      <c r="B232" s="12">
        <v>50375</v>
      </c>
      <c r="C232" s="13">
        <f t="shared" si="9"/>
        <v>50405</v>
      </c>
      <c r="D232" s="14">
        <f>'Income Tracker Data'!V230</f>
        <v>0</v>
      </c>
      <c r="E232" s="15">
        <f>'Expense Tracker Data'!V230</f>
        <v>0</v>
      </c>
      <c r="F232" s="15">
        <f t="shared" si="8"/>
        <v>0</v>
      </c>
      <c r="G232" s="15" t="str">
        <f>IF(AND(D232&gt;0,E232&gt;0),G231+Bottom_Line_Table[[#This Row],[Difference]],"N/A")</f>
        <v>N/A</v>
      </c>
    </row>
    <row r="233" spans="2:7" x14ac:dyDescent="0.3">
      <c r="B233" s="12">
        <v>50406</v>
      </c>
      <c r="C233" s="13">
        <f t="shared" si="9"/>
        <v>50436</v>
      </c>
      <c r="D233" s="14">
        <f>'Income Tracker Data'!V231</f>
        <v>0</v>
      </c>
      <c r="E233" s="15">
        <f>'Expense Tracker Data'!V231</f>
        <v>0</v>
      </c>
      <c r="F233" s="15">
        <f t="shared" si="8"/>
        <v>0</v>
      </c>
      <c r="G233" s="15" t="str">
        <f>IF(AND(D233&gt;0,E233&gt;0),G232+Bottom_Line_Table[[#This Row],[Difference]],"N/A")</f>
        <v>N/A</v>
      </c>
    </row>
    <row r="234" spans="2:7" x14ac:dyDescent="0.3">
      <c r="B234" s="12">
        <v>50437</v>
      </c>
      <c r="C234" s="13">
        <f t="shared" si="9"/>
        <v>50464</v>
      </c>
      <c r="D234" s="14">
        <f>'Income Tracker Data'!V232</f>
        <v>0</v>
      </c>
      <c r="E234" s="15">
        <f>'Expense Tracker Data'!V232</f>
        <v>0</v>
      </c>
      <c r="F234" s="15">
        <f t="shared" si="8"/>
        <v>0</v>
      </c>
      <c r="G234" s="15" t="str">
        <f>IF(AND(D234&gt;0,E234&gt;0),G233+Bottom_Line_Table[[#This Row],[Difference]],"N/A")</f>
        <v>N/A</v>
      </c>
    </row>
    <row r="235" spans="2:7" x14ac:dyDescent="0.3">
      <c r="B235" s="12">
        <v>50465</v>
      </c>
      <c r="C235" s="13">
        <f t="shared" si="9"/>
        <v>50495</v>
      </c>
      <c r="D235" s="14">
        <f>'Income Tracker Data'!V233</f>
        <v>0</v>
      </c>
      <c r="E235" s="15">
        <f>'Expense Tracker Data'!V233</f>
        <v>0</v>
      </c>
      <c r="F235" s="15">
        <f t="shared" si="8"/>
        <v>0</v>
      </c>
      <c r="G235" s="15" t="str">
        <f>IF(AND(D235&gt;0,E235&gt;0),G234+Bottom_Line_Table[[#This Row],[Difference]],"N/A")</f>
        <v>N/A</v>
      </c>
    </row>
    <row r="236" spans="2:7" x14ac:dyDescent="0.3">
      <c r="B236" s="12">
        <v>50496</v>
      </c>
      <c r="C236" s="13">
        <f t="shared" si="9"/>
        <v>50525</v>
      </c>
      <c r="D236" s="14">
        <f>'Income Tracker Data'!V234</f>
        <v>0</v>
      </c>
      <c r="E236" s="15">
        <f>'Expense Tracker Data'!V234</f>
        <v>0</v>
      </c>
      <c r="F236" s="15">
        <f t="shared" si="8"/>
        <v>0</v>
      </c>
      <c r="G236" s="15" t="str">
        <f>IF(AND(D236&gt;0,E236&gt;0),G235+Bottom_Line_Table[[#This Row],[Difference]],"N/A")</f>
        <v>N/A</v>
      </c>
    </row>
    <row r="237" spans="2:7" x14ac:dyDescent="0.3">
      <c r="B237" s="12">
        <v>50526</v>
      </c>
      <c r="C237" s="13">
        <f t="shared" si="9"/>
        <v>50556</v>
      </c>
      <c r="D237" s="14">
        <f>'Income Tracker Data'!V235</f>
        <v>0</v>
      </c>
      <c r="E237" s="15">
        <f>'Expense Tracker Data'!V235</f>
        <v>0</v>
      </c>
      <c r="F237" s="15">
        <f t="shared" si="8"/>
        <v>0</v>
      </c>
      <c r="G237" s="15" t="str">
        <f>IF(AND(D237&gt;0,E237&gt;0),G236+Bottom_Line_Table[[#This Row],[Difference]],"N/A")</f>
        <v>N/A</v>
      </c>
    </row>
    <row r="238" spans="2:7" x14ac:dyDescent="0.3">
      <c r="B238" s="12">
        <v>50557</v>
      </c>
      <c r="C238" s="13">
        <f t="shared" si="9"/>
        <v>50586</v>
      </c>
      <c r="D238" s="14">
        <f>'Income Tracker Data'!V236</f>
        <v>0</v>
      </c>
      <c r="E238" s="15">
        <f>'Expense Tracker Data'!V236</f>
        <v>0</v>
      </c>
      <c r="F238" s="15">
        <f t="shared" si="8"/>
        <v>0</v>
      </c>
      <c r="G238" s="15" t="str">
        <f>IF(AND(D238&gt;0,E238&gt;0),G237+Bottom_Line_Table[[#This Row],[Difference]],"N/A")</f>
        <v>N/A</v>
      </c>
    </row>
    <row r="239" spans="2:7" x14ac:dyDescent="0.3">
      <c r="B239" s="12">
        <v>50587</v>
      </c>
      <c r="C239" s="13">
        <f t="shared" si="9"/>
        <v>50617</v>
      </c>
      <c r="D239" s="14">
        <f>'Income Tracker Data'!V237</f>
        <v>0</v>
      </c>
      <c r="E239" s="15">
        <f>'Expense Tracker Data'!V237</f>
        <v>0</v>
      </c>
      <c r="F239" s="15">
        <f t="shared" si="8"/>
        <v>0</v>
      </c>
      <c r="G239" s="15" t="str">
        <f>IF(AND(D239&gt;0,E239&gt;0),G238+Bottom_Line_Table[[#This Row],[Difference]],"N/A")</f>
        <v>N/A</v>
      </c>
    </row>
    <row r="240" spans="2:7" x14ac:dyDescent="0.3">
      <c r="B240" s="12">
        <v>50618</v>
      </c>
      <c r="C240" s="13">
        <f t="shared" si="9"/>
        <v>50648</v>
      </c>
      <c r="D240" s="14">
        <f>'Income Tracker Data'!V238</f>
        <v>0</v>
      </c>
      <c r="E240" s="15">
        <f>'Expense Tracker Data'!V238</f>
        <v>0</v>
      </c>
      <c r="F240" s="15">
        <f t="shared" si="8"/>
        <v>0</v>
      </c>
      <c r="G240" s="15" t="str">
        <f>IF(AND(D240&gt;0,E240&gt;0),G239+Bottom_Line_Table[[#This Row],[Difference]],"N/A")</f>
        <v>N/A</v>
      </c>
    </row>
    <row r="241" spans="2:7" x14ac:dyDescent="0.3">
      <c r="B241" s="12">
        <v>50649</v>
      </c>
      <c r="C241" s="13">
        <f t="shared" si="9"/>
        <v>50678</v>
      </c>
      <c r="D241" s="14">
        <f>'Income Tracker Data'!V239</f>
        <v>0</v>
      </c>
      <c r="E241" s="15">
        <f>'Expense Tracker Data'!V239</f>
        <v>0</v>
      </c>
      <c r="F241" s="15">
        <f t="shared" si="8"/>
        <v>0</v>
      </c>
      <c r="G241" s="15" t="str">
        <f>IF(AND(D241&gt;0,E241&gt;0),G240+Bottom_Line_Table[[#This Row],[Difference]],"N/A")</f>
        <v>N/A</v>
      </c>
    </row>
    <row r="242" spans="2:7" x14ac:dyDescent="0.3">
      <c r="B242" s="12">
        <v>50679</v>
      </c>
      <c r="C242" s="13">
        <f t="shared" si="9"/>
        <v>50709</v>
      </c>
      <c r="D242" s="14">
        <f>'Income Tracker Data'!V240</f>
        <v>0</v>
      </c>
      <c r="E242" s="15">
        <f>'Expense Tracker Data'!V240</f>
        <v>0</v>
      </c>
      <c r="F242" s="15">
        <f t="shared" si="8"/>
        <v>0</v>
      </c>
      <c r="G242" s="15" t="str">
        <f>IF(AND(D242&gt;0,E242&gt;0),G241+Bottom_Line_Table[[#This Row],[Difference]],"N/A")</f>
        <v>N/A</v>
      </c>
    </row>
    <row r="243" spans="2:7" x14ac:dyDescent="0.3">
      <c r="B243" s="12">
        <v>50710</v>
      </c>
      <c r="C243" s="13">
        <f t="shared" si="9"/>
        <v>50739</v>
      </c>
      <c r="D243" s="14">
        <f>'Income Tracker Data'!V241</f>
        <v>0</v>
      </c>
      <c r="E243" s="15">
        <f>'Expense Tracker Data'!V241</f>
        <v>0</v>
      </c>
      <c r="F243" s="15">
        <f t="shared" si="8"/>
        <v>0</v>
      </c>
      <c r="G243" s="15" t="str">
        <f>IF(AND(D243&gt;0,E243&gt;0),G242+Bottom_Line_Table[[#This Row],[Difference]],"N/A")</f>
        <v>N/A</v>
      </c>
    </row>
    <row r="244" spans="2:7" x14ac:dyDescent="0.3">
      <c r="B244" s="12">
        <v>50740</v>
      </c>
      <c r="C244" s="13">
        <f t="shared" si="9"/>
        <v>50770</v>
      </c>
      <c r="D244" s="14">
        <f>'Income Tracker Data'!V242</f>
        <v>0</v>
      </c>
      <c r="E244" s="15">
        <f>'Expense Tracker Data'!V242</f>
        <v>0</v>
      </c>
      <c r="F244" s="15">
        <f t="shared" si="8"/>
        <v>0</v>
      </c>
      <c r="G244" s="15" t="str">
        <f>IF(AND(D244&gt;0,E244&gt;0),G243+Bottom_Line_Table[[#This Row],[Difference]],"N/A")</f>
        <v>N/A</v>
      </c>
    </row>
    <row r="245" spans="2:7" x14ac:dyDescent="0.3">
      <c r="B245" s="12">
        <v>50771</v>
      </c>
      <c r="C245" s="13">
        <f t="shared" si="9"/>
        <v>50801</v>
      </c>
      <c r="D245" s="14">
        <f>'Income Tracker Data'!V243</f>
        <v>0</v>
      </c>
      <c r="E245" s="15">
        <f>'Expense Tracker Data'!V243</f>
        <v>0</v>
      </c>
      <c r="F245" s="15">
        <f t="shared" si="8"/>
        <v>0</v>
      </c>
      <c r="G245" s="15" t="str">
        <f>IF(AND(D245&gt;0,E245&gt;0),G244+Bottom_Line_Table[[#This Row],[Difference]],"N/A")</f>
        <v>N/A</v>
      </c>
    </row>
    <row r="246" spans="2:7" x14ac:dyDescent="0.3">
      <c r="B246" s="12">
        <v>50802</v>
      </c>
      <c r="C246" s="13">
        <f t="shared" si="9"/>
        <v>50829</v>
      </c>
      <c r="D246" s="14">
        <f>'Income Tracker Data'!V244</f>
        <v>0</v>
      </c>
      <c r="E246" s="15">
        <f>'Expense Tracker Data'!V244</f>
        <v>0</v>
      </c>
      <c r="F246" s="15">
        <f t="shared" si="8"/>
        <v>0</v>
      </c>
      <c r="G246" s="15" t="str">
        <f>IF(AND(D246&gt;0,E246&gt;0),G245+Bottom_Line_Table[[#This Row],[Difference]],"N/A")</f>
        <v>N/A</v>
      </c>
    </row>
    <row r="247" spans="2:7" x14ac:dyDescent="0.3">
      <c r="B247" s="12">
        <v>50830</v>
      </c>
      <c r="C247" s="13">
        <f t="shared" si="9"/>
        <v>50860</v>
      </c>
      <c r="D247" s="14">
        <f>'Income Tracker Data'!V245</f>
        <v>0</v>
      </c>
      <c r="E247" s="15">
        <f>'Expense Tracker Data'!V245</f>
        <v>0</v>
      </c>
      <c r="F247" s="15">
        <f t="shared" si="8"/>
        <v>0</v>
      </c>
      <c r="G247" s="15" t="str">
        <f>IF(AND(D247&gt;0,E247&gt;0),G246+Bottom_Line_Table[[#This Row],[Difference]],"N/A")</f>
        <v>N/A</v>
      </c>
    </row>
    <row r="248" spans="2:7" x14ac:dyDescent="0.3">
      <c r="B248" s="12">
        <v>50861</v>
      </c>
      <c r="C248" s="13">
        <f t="shared" si="9"/>
        <v>50890</v>
      </c>
      <c r="D248" s="14">
        <f>'Income Tracker Data'!V246</f>
        <v>0</v>
      </c>
      <c r="E248" s="15">
        <f>'Expense Tracker Data'!V246</f>
        <v>0</v>
      </c>
      <c r="F248" s="15">
        <f t="shared" si="8"/>
        <v>0</v>
      </c>
      <c r="G248" s="15" t="str">
        <f>IF(AND(D248&gt;0,E248&gt;0),G247+Bottom_Line_Table[[#This Row],[Difference]],"N/A")</f>
        <v>N/A</v>
      </c>
    </row>
    <row r="249" spans="2:7" x14ac:dyDescent="0.3">
      <c r="B249" s="12">
        <v>50891</v>
      </c>
      <c r="C249" s="13">
        <f t="shared" si="9"/>
        <v>50921</v>
      </c>
      <c r="D249" s="14">
        <f>'Income Tracker Data'!V247</f>
        <v>0</v>
      </c>
      <c r="E249" s="15">
        <f>'Expense Tracker Data'!V247</f>
        <v>0</v>
      </c>
      <c r="F249" s="15">
        <f t="shared" si="8"/>
        <v>0</v>
      </c>
      <c r="G249" s="15" t="str">
        <f>IF(AND(D249&gt;0,E249&gt;0),G248+Bottom_Line_Table[[#This Row],[Difference]],"N/A")</f>
        <v>N/A</v>
      </c>
    </row>
    <row r="250" spans="2:7" x14ac:dyDescent="0.3">
      <c r="B250" s="12">
        <v>50922</v>
      </c>
      <c r="C250" s="13">
        <f t="shared" si="9"/>
        <v>50951</v>
      </c>
      <c r="D250" s="14">
        <f>'Income Tracker Data'!V248</f>
        <v>0</v>
      </c>
      <c r="E250" s="15">
        <f>'Expense Tracker Data'!V248</f>
        <v>0</v>
      </c>
      <c r="F250" s="15">
        <f t="shared" si="8"/>
        <v>0</v>
      </c>
      <c r="G250" s="15" t="str">
        <f>IF(AND(D250&gt;0,E250&gt;0),G249+Bottom_Line_Table[[#This Row],[Difference]],"N/A")</f>
        <v>N/A</v>
      </c>
    </row>
    <row r="251" spans="2:7" x14ac:dyDescent="0.3">
      <c r="B251" s="12">
        <v>50952</v>
      </c>
      <c r="C251" s="13">
        <f t="shared" si="9"/>
        <v>50982</v>
      </c>
      <c r="D251" s="14">
        <f>'Income Tracker Data'!V249</f>
        <v>0</v>
      </c>
      <c r="E251" s="15">
        <f>'Expense Tracker Data'!V249</f>
        <v>0</v>
      </c>
      <c r="F251" s="15">
        <f t="shared" si="8"/>
        <v>0</v>
      </c>
      <c r="G251" s="15" t="str">
        <f>IF(AND(D251&gt;0,E251&gt;0),G250+Bottom_Line_Table[[#This Row],[Difference]],"N/A")</f>
        <v>N/A</v>
      </c>
    </row>
    <row r="252" spans="2:7" x14ac:dyDescent="0.3">
      <c r="B252" s="12">
        <v>50983</v>
      </c>
      <c r="C252" s="13">
        <f t="shared" si="9"/>
        <v>51013</v>
      </c>
      <c r="D252" s="14">
        <f>'Income Tracker Data'!V250</f>
        <v>0</v>
      </c>
      <c r="E252" s="15">
        <f>'Expense Tracker Data'!V250</f>
        <v>0</v>
      </c>
      <c r="F252" s="15">
        <f t="shared" si="8"/>
        <v>0</v>
      </c>
      <c r="G252" s="15" t="str">
        <f>IF(AND(D252&gt;0,E252&gt;0),G251+Bottom_Line_Table[[#This Row],[Difference]],"N/A")</f>
        <v>N/A</v>
      </c>
    </row>
    <row r="253" spans="2:7" x14ac:dyDescent="0.3">
      <c r="B253" s="12">
        <v>51014</v>
      </c>
      <c r="C253" s="13">
        <f t="shared" si="9"/>
        <v>51043</v>
      </c>
      <c r="D253" s="14">
        <f>'Income Tracker Data'!V251</f>
        <v>0</v>
      </c>
      <c r="E253" s="15">
        <f>'Expense Tracker Data'!V251</f>
        <v>0</v>
      </c>
      <c r="F253" s="15">
        <f t="shared" si="8"/>
        <v>0</v>
      </c>
      <c r="G253" s="15" t="str">
        <f>IF(AND(D253&gt;0,E253&gt;0),G252+Bottom_Line_Table[[#This Row],[Difference]],"N/A")</f>
        <v>N/A</v>
      </c>
    </row>
    <row r="254" spans="2:7" x14ac:dyDescent="0.3">
      <c r="B254" s="12">
        <v>51044</v>
      </c>
      <c r="C254" s="13">
        <f t="shared" si="9"/>
        <v>51074</v>
      </c>
      <c r="D254" s="14">
        <f>'Income Tracker Data'!V252</f>
        <v>0</v>
      </c>
      <c r="E254" s="15">
        <f>'Expense Tracker Data'!V252</f>
        <v>0</v>
      </c>
      <c r="F254" s="15">
        <f t="shared" si="8"/>
        <v>0</v>
      </c>
      <c r="G254" s="15" t="str">
        <f>IF(AND(D254&gt;0,E254&gt;0),G253+Bottom_Line_Table[[#This Row],[Difference]],"N/A")</f>
        <v>N/A</v>
      </c>
    </row>
    <row r="255" spans="2:7" x14ac:dyDescent="0.3">
      <c r="B255" s="12">
        <v>51075</v>
      </c>
      <c r="C255" s="13">
        <f t="shared" si="9"/>
        <v>51104</v>
      </c>
      <c r="D255" s="14">
        <f>'Income Tracker Data'!V253</f>
        <v>0</v>
      </c>
      <c r="E255" s="15">
        <f>'Expense Tracker Data'!V253</f>
        <v>0</v>
      </c>
      <c r="F255" s="15">
        <f t="shared" si="8"/>
        <v>0</v>
      </c>
      <c r="G255" s="15" t="str">
        <f>IF(AND(D255&gt;0,E255&gt;0),G254+Bottom_Line_Table[[#This Row],[Difference]],"N/A")</f>
        <v>N/A</v>
      </c>
    </row>
    <row r="256" spans="2:7" x14ac:dyDescent="0.3">
      <c r="B256" s="12">
        <v>51105</v>
      </c>
      <c r="C256" s="13">
        <f t="shared" si="9"/>
        <v>51135</v>
      </c>
      <c r="D256" s="14">
        <f>'Income Tracker Data'!V254</f>
        <v>0</v>
      </c>
      <c r="E256" s="15">
        <f>'Expense Tracker Data'!V254</f>
        <v>0</v>
      </c>
      <c r="F256" s="15">
        <f t="shared" si="8"/>
        <v>0</v>
      </c>
      <c r="G256" s="15" t="str">
        <f>IF(AND(D256&gt;0,E256&gt;0),G255+Bottom_Line_Table[[#This Row],[Difference]],"N/A")</f>
        <v>N/A</v>
      </c>
    </row>
    <row r="257" spans="2:7" x14ac:dyDescent="0.3">
      <c r="B257" s="12">
        <v>51136</v>
      </c>
      <c r="C257" s="13">
        <f t="shared" si="9"/>
        <v>51166</v>
      </c>
      <c r="D257" s="14">
        <f>'Income Tracker Data'!V255</f>
        <v>0</v>
      </c>
      <c r="E257" s="15">
        <f>'Expense Tracker Data'!V255</f>
        <v>0</v>
      </c>
      <c r="F257" s="15">
        <f t="shared" si="8"/>
        <v>0</v>
      </c>
      <c r="G257" s="15" t="str">
        <f>IF(AND(D257&gt;0,E257&gt;0),G256+Bottom_Line_Table[[#This Row],[Difference]],"N/A")</f>
        <v>N/A</v>
      </c>
    </row>
    <row r="258" spans="2:7" x14ac:dyDescent="0.3">
      <c r="B258" s="12">
        <v>51167</v>
      </c>
      <c r="C258" s="13">
        <f t="shared" si="9"/>
        <v>51195</v>
      </c>
      <c r="D258" s="14">
        <f>'Income Tracker Data'!V256</f>
        <v>0</v>
      </c>
      <c r="E258" s="15">
        <f>'Expense Tracker Data'!V256</f>
        <v>0</v>
      </c>
      <c r="F258" s="15">
        <f t="shared" si="8"/>
        <v>0</v>
      </c>
      <c r="G258" s="15" t="str">
        <f>IF(AND(D258&gt;0,E258&gt;0),G257+Bottom_Line_Table[[#This Row],[Difference]],"N/A")</f>
        <v>N/A</v>
      </c>
    </row>
    <row r="259" spans="2:7" x14ac:dyDescent="0.3">
      <c r="B259" s="12">
        <v>51196</v>
      </c>
      <c r="C259" s="13">
        <f t="shared" si="9"/>
        <v>51226</v>
      </c>
      <c r="D259" s="14">
        <f>'Income Tracker Data'!V257</f>
        <v>0</v>
      </c>
      <c r="E259" s="15">
        <f>'Expense Tracker Data'!V257</f>
        <v>0</v>
      </c>
      <c r="F259" s="15">
        <f t="shared" si="8"/>
        <v>0</v>
      </c>
      <c r="G259" s="15" t="str">
        <f>IF(AND(D259&gt;0,E259&gt;0),G258+Bottom_Line_Table[[#This Row],[Difference]],"N/A")</f>
        <v>N/A</v>
      </c>
    </row>
    <row r="260" spans="2:7" x14ac:dyDescent="0.3">
      <c r="B260" s="12">
        <v>51227</v>
      </c>
      <c r="C260" s="13">
        <f t="shared" si="9"/>
        <v>51256</v>
      </c>
      <c r="D260" s="14">
        <f>'Income Tracker Data'!V258</f>
        <v>0</v>
      </c>
      <c r="E260" s="15">
        <f>'Expense Tracker Data'!V258</f>
        <v>0</v>
      </c>
      <c r="F260" s="15">
        <f t="shared" si="8"/>
        <v>0</v>
      </c>
      <c r="G260" s="15" t="str">
        <f>IF(AND(D260&gt;0,E260&gt;0),G259+Bottom_Line_Table[[#This Row],[Difference]],"N/A")</f>
        <v>N/A</v>
      </c>
    </row>
    <row r="261" spans="2:7" x14ac:dyDescent="0.3">
      <c r="B261" s="12">
        <v>51257</v>
      </c>
      <c r="C261" s="13">
        <f t="shared" si="9"/>
        <v>51287</v>
      </c>
      <c r="D261" s="14">
        <f>'Income Tracker Data'!V259</f>
        <v>0</v>
      </c>
      <c r="E261" s="15">
        <f>'Expense Tracker Data'!V259</f>
        <v>0</v>
      </c>
      <c r="F261" s="15">
        <f t="shared" si="8"/>
        <v>0</v>
      </c>
      <c r="G261" s="15" t="str">
        <f>IF(AND(D261&gt;0,E261&gt;0),G260+Bottom_Line_Table[[#This Row],[Difference]],"N/A")</f>
        <v>N/A</v>
      </c>
    </row>
    <row r="262" spans="2:7" x14ac:dyDescent="0.3">
      <c r="B262" s="12">
        <v>51288</v>
      </c>
      <c r="C262" s="13">
        <f t="shared" si="9"/>
        <v>51317</v>
      </c>
      <c r="D262" s="14">
        <f>'Income Tracker Data'!V260</f>
        <v>0</v>
      </c>
      <c r="E262" s="15">
        <f>'Expense Tracker Data'!V260</f>
        <v>0</v>
      </c>
      <c r="F262" s="15">
        <f t="shared" ref="F262:F325" si="10">D262-E262</f>
        <v>0</v>
      </c>
      <c r="G262" s="15" t="str">
        <f>IF(AND(D262&gt;0,E262&gt;0),G261+Bottom_Line_Table[[#This Row],[Difference]],"N/A")</f>
        <v>N/A</v>
      </c>
    </row>
    <row r="263" spans="2:7" x14ac:dyDescent="0.3">
      <c r="B263" s="12">
        <v>51318</v>
      </c>
      <c r="C263" s="13">
        <f t="shared" si="9"/>
        <v>51348</v>
      </c>
      <c r="D263" s="14">
        <f>'Income Tracker Data'!V261</f>
        <v>0</v>
      </c>
      <c r="E263" s="15">
        <f>'Expense Tracker Data'!V261</f>
        <v>0</v>
      </c>
      <c r="F263" s="15">
        <f t="shared" si="10"/>
        <v>0</v>
      </c>
      <c r="G263" s="15" t="str">
        <f>IF(AND(D263&gt;0,E263&gt;0),G262+Bottom_Line_Table[[#This Row],[Difference]],"N/A")</f>
        <v>N/A</v>
      </c>
    </row>
    <row r="264" spans="2:7" x14ac:dyDescent="0.3">
      <c r="B264" s="12">
        <v>51349</v>
      </c>
      <c r="C264" s="13">
        <f t="shared" si="9"/>
        <v>51379</v>
      </c>
      <c r="D264" s="14">
        <f>'Income Tracker Data'!V262</f>
        <v>0</v>
      </c>
      <c r="E264" s="15">
        <f>'Expense Tracker Data'!V262</f>
        <v>0</v>
      </c>
      <c r="F264" s="15">
        <f t="shared" si="10"/>
        <v>0</v>
      </c>
      <c r="G264" s="15" t="str">
        <f>IF(AND(D264&gt;0,E264&gt;0),G263+Bottom_Line_Table[[#This Row],[Difference]],"N/A")</f>
        <v>N/A</v>
      </c>
    </row>
    <row r="265" spans="2:7" x14ac:dyDescent="0.3">
      <c r="B265" s="12">
        <v>51380</v>
      </c>
      <c r="C265" s="13">
        <f t="shared" si="9"/>
        <v>51409</v>
      </c>
      <c r="D265" s="14">
        <f>'Income Tracker Data'!V263</f>
        <v>0</v>
      </c>
      <c r="E265" s="15">
        <f>'Expense Tracker Data'!V263</f>
        <v>0</v>
      </c>
      <c r="F265" s="15">
        <f t="shared" si="10"/>
        <v>0</v>
      </c>
      <c r="G265" s="15" t="str">
        <f>IF(AND(D265&gt;0,E265&gt;0),G264+Bottom_Line_Table[[#This Row],[Difference]],"N/A")</f>
        <v>N/A</v>
      </c>
    </row>
    <row r="266" spans="2:7" x14ac:dyDescent="0.3">
      <c r="B266" s="12">
        <v>51410</v>
      </c>
      <c r="C266" s="13">
        <f t="shared" si="9"/>
        <v>51440</v>
      </c>
      <c r="D266" s="14">
        <f>'Income Tracker Data'!V264</f>
        <v>0</v>
      </c>
      <c r="E266" s="15">
        <f>'Expense Tracker Data'!V264</f>
        <v>0</v>
      </c>
      <c r="F266" s="15">
        <f t="shared" si="10"/>
        <v>0</v>
      </c>
      <c r="G266" s="15" t="str">
        <f>IF(AND(D266&gt;0,E266&gt;0),G265+Bottom_Line_Table[[#This Row],[Difference]],"N/A")</f>
        <v>N/A</v>
      </c>
    </row>
    <row r="267" spans="2:7" x14ac:dyDescent="0.3">
      <c r="B267" s="12">
        <v>51441</v>
      </c>
      <c r="C267" s="13">
        <f t="shared" ref="C267:C330" si="11">EOMONTH(B267,0)</f>
        <v>51470</v>
      </c>
      <c r="D267" s="14">
        <f>'Income Tracker Data'!V265</f>
        <v>0</v>
      </c>
      <c r="E267" s="15">
        <f>'Expense Tracker Data'!V265</f>
        <v>0</v>
      </c>
      <c r="F267" s="15">
        <f t="shared" si="10"/>
        <v>0</v>
      </c>
      <c r="G267" s="15" t="str">
        <f>IF(AND(D267&gt;0,E267&gt;0),G266+Bottom_Line_Table[[#This Row],[Difference]],"N/A")</f>
        <v>N/A</v>
      </c>
    </row>
    <row r="268" spans="2:7" x14ac:dyDescent="0.3">
      <c r="B268" s="12">
        <v>51471</v>
      </c>
      <c r="C268" s="13">
        <f t="shared" si="11"/>
        <v>51501</v>
      </c>
      <c r="D268" s="14">
        <f>'Income Tracker Data'!V266</f>
        <v>0</v>
      </c>
      <c r="E268" s="15">
        <f>'Expense Tracker Data'!V266</f>
        <v>0</v>
      </c>
      <c r="F268" s="15">
        <f t="shared" si="10"/>
        <v>0</v>
      </c>
      <c r="G268" s="15" t="str">
        <f>IF(AND(D268&gt;0,E268&gt;0),G267+Bottom_Line_Table[[#This Row],[Difference]],"N/A")</f>
        <v>N/A</v>
      </c>
    </row>
    <row r="269" spans="2:7" x14ac:dyDescent="0.3">
      <c r="B269" s="12">
        <v>51502</v>
      </c>
      <c r="C269" s="13">
        <f t="shared" si="11"/>
        <v>51532</v>
      </c>
      <c r="D269" s="14">
        <f>'Income Tracker Data'!V267</f>
        <v>0</v>
      </c>
      <c r="E269" s="15">
        <f>'Expense Tracker Data'!V267</f>
        <v>0</v>
      </c>
      <c r="F269" s="15">
        <f t="shared" si="10"/>
        <v>0</v>
      </c>
      <c r="G269" s="15" t="str">
        <f>IF(AND(D269&gt;0,E269&gt;0),G268+Bottom_Line_Table[[#This Row],[Difference]],"N/A")</f>
        <v>N/A</v>
      </c>
    </row>
    <row r="270" spans="2:7" x14ac:dyDescent="0.3">
      <c r="B270" s="12">
        <v>51533</v>
      </c>
      <c r="C270" s="13">
        <f t="shared" si="11"/>
        <v>51560</v>
      </c>
      <c r="D270" s="14">
        <f>'Income Tracker Data'!V268</f>
        <v>0</v>
      </c>
      <c r="E270" s="15">
        <f>'Expense Tracker Data'!V268</f>
        <v>0</v>
      </c>
      <c r="F270" s="15">
        <f t="shared" si="10"/>
        <v>0</v>
      </c>
      <c r="G270" s="15" t="str">
        <f>IF(AND(D270&gt;0,E270&gt;0),G269+Bottom_Line_Table[[#This Row],[Difference]],"N/A")</f>
        <v>N/A</v>
      </c>
    </row>
    <row r="271" spans="2:7" x14ac:dyDescent="0.3">
      <c r="B271" s="12">
        <v>51561</v>
      </c>
      <c r="C271" s="13">
        <f t="shared" si="11"/>
        <v>51591</v>
      </c>
      <c r="D271" s="14">
        <f>'Income Tracker Data'!V269</f>
        <v>0</v>
      </c>
      <c r="E271" s="15">
        <f>'Expense Tracker Data'!V269</f>
        <v>0</v>
      </c>
      <c r="F271" s="15">
        <f t="shared" si="10"/>
        <v>0</v>
      </c>
      <c r="G271" s="15" t="str">
        <f>IF(AND(D271&gt;0,E271&gt;0),G270+Bottom_Line_Table[[#This Row],[Difference]],"N/A")</f>
        <v>N/A</v>
      </c>
    </row>
    <row r="272" spans="2:7" x14ac:dyDescent="0.3">
      <c r="B272" s="12">
        <v>51592</v>
      </c>
      <c r="C272" s="13">
        <f t="shared" si="11"/>
        <v>51621</v>
      </c>
      <c r="D272" s="14">
        <f>'Income Tracker Data'!V270</f>
        <v>0</v>
      </c>
      <c r="E272" s="15">
        <f>'Expense Tracker Data'!V270</f>
        <v>0</v>
      </c>
      <c r="F272" s="15">
        <f t="shared" si="10"/>
        <v>0</v>
      </c>
      <c r="G272" s="15" t="str">
        <f>IF(AND(D272&gt;0,E272&gt;0),G271+Bottom_Line_Table[[#This Row],[Difference]],"N/A")</f>
        <v>N/A</v>
      </c>
    </row>
    <row r="273" spans="2:7" x14ac:dyDescent="0.3">
      <c r="B273" s="12">
        <v>51622</v>
      </c>
      <c r="C273" s="13">
        <f t="shared" si="11"/>
        <v>51652</v>
      </c>
      <c r="D273" s="14">
        <f>'Income Tracker Data'!V271</f>
        <v>0</v>
      </c>
      <c r="E273" s="15">
        <f>'Expense Tracker Data'!V271</f>
        <v>0</v>
      </c>
      <c r="F273" s="15">
        <f t="shared" si="10"/>
        <v>0</v>
      </c>
      <c r="G273" s="15" t="str">
        <f>IF(AND(D273&gt;0,E273&gt;0),G272+Bottom_Line_Table[[#This Row],[Difference]],"N/A")</f>
        <v>N/A</v>
      </c>
    </row>
    <row r="274" spans="2:7" x14ac:dyDescent="0.3">
      <c r="B274" s="12">
        <v>51653</v>
      </c>
      <c r="C274" s="13">
        <f t="shared" si="11"/>
        <v>51682</v>
      </c>
      <c r="D274" s="14">
        <f>'Income Tracker Data'!V272</f>
        <v>0</v>
      </c>
      <c r="E274" s="15">
        <f>'Expense Tracker Data'!V272</f>
        <v>0</v>
      </c>
      <c r="F274" s="15">
        <f t="shared" si="10"/>
        <v>0</v>
      </c>
      <c r="G274" s="15" t="str">
        <f>IF(AND(D274&gt;0,E274&gt;0),G273+Bottom_Line_Table[[#This Row],[Difference]],"N/A")</f>
        <v>N/A</v>
      </c>
    </row>
    <row r="275" spans="2:7" x14ac:dyDescent="0.3">
      <c r="B275" s="12">
        <v>51683</v>
      </c>
      <c r="C275" s="13">
        <f t="shared" si="11"/>
        <v>51713</v>
      </c>
      <c r="D275" s="14">
        <f>'Income Tracker Data'!V273</f>
        <v>0</v>
      </c>
      <c r="E275" s="15">
        <f>'Expense Tracker Data'!V273</f>
        <v>0</v>
      </c>
      <c r="F275" s="15">
        <f t="shared" si="10"/>
        <v>0</v>
      </c>
      <c r="G275" s="15" t="str">
        <f>IF(AND(D275&gt;0,E275&gt;0),G274+Bottom_Line_Table[[#This Row],[Difference]],"N/A")</f>
        <v>N/A</v>
      </c>
    </row>
    <row r="276" spans="2:7" x14ac:dyDescent="0.3">
      <c r="B276" s="12">
        <v>51714</v>
      </c>
      <c r="C276" s="13">
        <f t="shared" si="11"/>
        <v>51744</v>
      </c>
      <c r="D276" s="14">
        <f>'Income Tracker Data'!V274</f>
        <v>0</v>
      </c>
      <c r="E276" s="15">
        <f>'Expense Tracker Data'!V274</f>
        <v>0</v>
      </c>
      <c r="F276" s="15">
        <f t="shared" si="10"/>
        <v>0</v>
      </c>
      <c r="G276" s="15" t="str">
        <f>IF(AND(D276&gt;0,E276&gt;0),G275+Bottom_Line_Table[[#This Row],[Difference]],"N/A")</f>
        <v>N/A</v>
      </c>
    </row>
    <row r="277" spans="2:7" x14ac:dyDescent="0.3">
      <c r="B277" s="12">
        <v>51745</v>
      </c>
      <c r="C277" s="13">
        <f t="shared" si="11"/>
        <v>51774</v>
      </c>
      <c r="D277" s="14">
        <f>'Income Tracker Data'!V275</f>
        <v>0</v>
      </c>
      <c r="E277" s="15">
        <f>'Expense Tracker Data'!V275</f>
        <v>0</v>
      </c>
      <c r="F277" s="15">
        <f t="shared" si="10"/>
        <v>0</v>
      </c>
      <c r="G277" s="15" t="str">
        <f>IF(AND(D277&gt;0,E277&gt;0),G276+Bottom_Line_Table[[#This Row],[Difference]],"N/A")</f>
        <v>N/A</v>
      </c>
    </row>
    <row r="278" spans="2:7" x14ac:dyDescent="0.3">
      <c r="B278" s="12">
        <v>51775</v>
      </c>
      <c r="C278" s="13">
        <f t="shared" si="11"/>
        <v>51805</v>
      </c>
      <c r="D278" s="14">
        <f>'Income Tracker Data'!V276</f>
        <v>0</v>
      </c>
      <c r="E278" s="15">
        <f>'Expense Tracker Data'!V276</f>
        <v>0</v>
      </c>
      <c r="F278" s="15">
        <f t="shared" si="10"/>
        <v>0</v>
      </c>
      <c r="G278" s="15" t="str">
        <f>IF(AND(D278&gt;0,E278&gt;0),G277+Bottom_Line_Table[[#This Row],[Difference]],"N/A")</f>
        <v>N/A</v>
      </c>
    </row>
    <row r="279" spans="2:7" x14ac:dyDescent="0.3">
      <c r="B279" s="12">
        <v>51806</v>
      </c>
      <c r="C279" s="13">
        <f t="shared" si="11"/>
        <v>51835</v>
      </c>
      <c r="D279" s="14">
        <f>'Income Tracker Data'!V277</f>
        <v>0</v>
      </c>
      <c r="E279" s="15">
        <f>'Expense Tracker Data'!V277</f>
        <v>0</v>
      </c>
      <c r="F279" s="15">
        <f t="shared" si="10"/>
        <v>0</v>
      </c>
      <c r="G279" s="15" t="str">
        <f>IF(AND(D279&gt;0,E279&gt;0),G278+Bottom_Line_Table[[#This Row],[Difference]],"N/A")</f>
        <v>N/A</v>
      </c>
    </row>
    <row r="280" spans="2:7" x14ac:dyDescent="0.3">
      <c r="B280" s="12">
        <v>51836</v>
      </c>
      <c r="C280" s="13">
        <f t="shared" si="11"/>
        <v>51866</v>
      </c>
      <c r="D280" s="14">
        <f>'Income Tracker Data'!V278</f>
        <v>0</v>
      </c>
      <c r="E280" s="15">
        <f>'Expense Tracker Data'!V278</f>
        <v>0</v>
      </c>
      <c r="F280" s="15">
        <f t="shared" si="10"/>
        <v>0</v>
      </c>
      <c r="G280" s="15" t="str">
        <f>IF(AND(D280&gt;0,E280&gt;0),G279+Bottom_Line_Table[[#This Row],[Difference]],"N/A")</f>
        <v>N/A</v>
      </c>
    </row>
    <row r="281" spans="2:7" x14ac:dyDescent="0.3">
      <c r="B281" s="12">
        <v>51867</v>
      </c>
      <c r="C281" s="13">
        <f t="shared" si="11"/>
        <v>51897</v>
      </c>
      <c r="D281" s="14">
        <f>'Income Tracker Data'!V279</f>
        <v>0</v>
      </c>
      <c r="E281" s="15">
        <f>'Expense Tracker Data'!V279</f>
        <v>0</v>
      </c>
      <c r="F281" s="15">
        <f t="shared" si="10"/>
        <v>0</v>
      </c>
      <c r="G281" s="15" t="str">
        <f>IF(AND(D281&gt;0,E281&gt;0),G280+Bottom_Line_Table[[#This Row],[Difference]],"N/A")</f>
        <v>N/A</v>
      </c>
    </row>
    <row r="282" spans="2:7" x14ac:dyDescent="0.3">
      <c r="B282" s="12">
        <v>51898</v>
      </c>
      <c r="C282" s="13">
        <f t="shared" si="11"/>
        <v>51925</v>
      </c>
      <c r="D282" s="14">
        <f>'Income Tracker Data'!V280</f>
        <v>0</v>
      </c>
      <c r="E282" s="15">
        <f>'Expense Tracker Data'!V280</f>
        <v>0</v>
      </c>
      <c r="F282" s="15">
        <f t="shared" si="10"/>
        <v>0</v>
      </c>
      <c r="G282" s="15" t="str">
        <f>IF(AND(D282&gt;0,E282&gt;0),G281+Bottom_Line_Table[[#This Row],[Difference]],"N/A")</f>
        <v>N/A</v>
      </c>
    </row>
    <row r="283" spans="2:7" x14ac:dyDescent="0.3">
      <c r="B283" s="12">
        <v>51926</v>
      </c>
      <c r="C283" s="13">
        <f t="shared" si="11"/>
        <v>51956</v>
      </c>
      <c r="D283" s="14">
        <f>'Income Tracker Data'!V281</f>
        <v>0</v>
      </c>
      <c r="E283" s="15">
        <f>'Expense Tracker Data'!V281</f>
        <v>0</v>
      </c>
      <c r="F283" s="15">
        <f t="shared" si="10"/>
        <v>0</v>
      </c>
      <c r="G283" s="15" t="str">
        <f>IF(AND(D283&gt;0,E283&gt;0),G282+Bottom_Line_Table[[#This Row],[Difference]],"N/A")</f>
        <v>N/A</v>
      </c>
    </row>
    <row r="284" spans="2:7" x14ac:dyDescent="0.3">
      <c r="B284" s="12">
        <v>51957</v>
      </c>
      <c r="C284" s="13">
        <f t="shared" si="11"/>
        <v>51986</v>
      </c>
      <c r="D284" s="14">
        <f>'Income Tracker Data'!V282</f>
        <v>0</v>
      </c>
      <c r="E284" s="15">
        <f>'Expense Tracker Data'!V282</f>
        <v>0</v>
      </c>
      <c r="F284" s="15">
        <f t="shared" si="10"/>
        <v>0</v>
      </c>
      <c r="G284" s="15" t="str">
        <f>IF(AND(D284&gt;0,E284&gt;0),G283+Bottom_Line_Table[[#This Row],[Difference]],"N/A")</f>
        <v>N/A</v>
      </c>
    </row>
    <row r="285" spans="2:7" x14ac:dyDescent="0.3">
      <c r="B285" s="12">
        <v>51987</v>
      </c>
      <c r="C285" s="13">
        <f t="shared" si="11"/>
        <v>52017</v>
      </c>
      <c r="D285" s="14">
        <f>'Income Tracker Data'!V283</f>
        <v>0</v>
      </c>
      <c r="E285" s="15">
        <f>'Expense Tracker Data'!V283</f>
        <v>0</v>
      </c>
      <c r="F285" s="15">
        <f t="shared" si="10"/>
        <v>0</v>
      </c>
      <c r="G285" s="15" t="str">
        <f>IF(AND(D285&gt;0,E285&gt;0),G284+Bottom_Line_Table[[#This Row],[Difference]],"N/A")</f>
        <v>N/A</v>
      </c>
    </row>
    <row r="286" spans="2:7" x14ac:dyDescent="0.3">
      <c r="B286" s="12">
        <v>52018</v>
      </c>
      <c r="C286" s="13">
        <f t="shared" si="11"/>
        <v>52047</v>
      </c>
      <c r="D286" s="14">
        <f>'Income Tracker Data'!V284</f>
        <v>0</v>
      </c>
      <c r="E286" s="15">
        <f>'Expense Tracker Data'!V284</f>
        <v>0</v>
      </c>
      <c r="F286" s="15">
        <f t="shared" si="10"/>
        <v>0</v>
      </c>
      <c r="G286" s="15" t="str">
        <f>IF(AND(D286&gt;0,E286&gt;0),G285+Bottom_Line_Table[[#This Row],[Difference]],"N/A")</f>
        <v>N/A</v>
      </c>
    </row>
    <row r="287" spans="2:7" x14ac:dyDescent="0.3">
      <c r="B287" s="12">
        <v>52048</v>
      </c>
      <c r="C287" s="13">
        <f t="shared" si="11"/>
        <v>52078</v>
      </c>
      <c r="D287" s="14">
        <f>'Income Tracker Data'!V285</f>
        <v>0</v>
      </c>
      <c r="E287" s="15">
        <f>'Expense Tracker Data'!V285</f>
        <v>0</v>
      </c>
      <c r="F287" s="15">
        <f t="shared" si="10"/>
        <v>0</v>
      </c>
      <c r="G287" s="15" t="str">
        <f>IF(AND(D287&gt;0,E287&gt;0),G286+Bottom_Line_Table[[#This Row],[Difference]],"N/A")</f>
        <v>N/A</v>
      </c>
    </row>
    <row r="288" spans="2:7" x14ac:dyDescent="0.3">
      <c r="B288" s="12">
        <v>52079</v>
      </c>
      <c r="C288" s="13">
        <f t="shared" si="11"/>
        <v>52109</v>
      </c>
      <c r="D288" s="14">
        <f>'Income Tracker Data'!V286</f>
        <v>0</v>
      </c>
      <c r="E288" s="15">
        <f>'Expense Tracker Data'!V286</f>
        <v>0</v>
      </c>
      <c r="F288" s="15">
        <f t="shared" si="10"/>
        <v>0</v>
      </c>
      <c r="G288" s="15" t="str">
        <f>IF(AND(D288&gt;0,E288&gt;0),G287+Bottom_Line_Table[[#This Row],[Difference]],"N/A")</f>
        <v>N/A</v>
      </c>
    </row>
    <row r="289" spans="2:7" x14ac:dyDescent="0.3">
      <c r="B289" s="12">
        <v>52110</v>
      </c>
      <c r="C289" s="13">
        <f t="shared" si="11"/>
        <v>52139</v>
      </c>
      <c r="D289" s="14">
        <f>'Income Tracker Data'!V287</f>
        <v>0</v>
      </c>
      <c r="E289" s="15">
        <f>'Expense Tracker Data'!V287</f>
        <v>0</v>
      </c>
      <c r="F289" s="15">
        <f t="shared" si="10"/>
        <v>0</v>
      </c>
      <c r="G289" s="15" t="str">
        <f>IF(AND(D289&gt;0,E289&gt;0),G288+Bottom_Line_Table[[#This Row],[Difference]],"N/A")</f>
        <v>N/A</v>
      </c>
    </row>
    <row r="290" spans="2:7" x14ac:dyDescent="0.3">
      <c r="B290" s="12">
        <v>52140</v>
      </c>
      <c r="C290" s="13">
        <f t="shared" si="11"/>
        <v>52170</v>
      </c>
      <c r="D290" s="14">
        <f>'Income Tracker Data'!V288</f>
        <v>0</v>
      </c>
      <c r="E290" s="15">
        <f>'Expense Tracker Data'!V288</f>
        <v>0</v>
      </c>
      <c r="F290" s="15">
        <f t="shared" si="10"/>
        <v>0</v>
      </c>
      <c r="G290" s="15" t="str">
        <f>IF(AND(D290&gt;0,E290&gt;0),G289+Bottom_Line_Table[[#This Row],[Difference]],"N/A")</f>
        <v>N/A</v>
      </c>
    </row>
    <row r="291" spans="2:7" x14ac:dyDescent="0.3">
      <c r="B291" s="12">
        <v>52171</v>
      </c>
      <c r="C291" s="13">
        <f t="shared" si="11"/>
        <v>52200</v>
      </c>
      <c r="D291" s="14">
        <f>'Income Tracker Data'!V289</f>
        <v>0</v>
      </c>
      <c r="E291" s="15">
        <f>'Expense Tracker Data'!V289</f>
        <v>0</v>
      </c>
      <c r="F291" s="15">
        <f t="shared" si="10"/>
        <v>0</v>
      </c>
      <c r="G291" s="15" t="str">
        <f>IF(AND(D291&gt;0,E291&gt;0),G290+Bottom_Line_Table[[#This Row],[Difference]],"N/A")</f>
        <v>N/A</v>
      </c>
    </row>
    <row r="292" spans="2:7" x14ac:dyDescent="0.3">
      <c r="B292" s="12">
        <v>52201</v>
      </c>
      <c r="C292" s="13">
        <f t="shared" si="11"/>
        <v>52231</v>
      </c>
      <c r="D292" s="14">
        <f>'Income Tracker Data'!V290</f>
        <v>0</v>
      </c>
      <c r="E292" s="15">
        <f>'Expense Tracker Data'!V290</f>
        <v>0</v>
      </c>
      <c r="F292" s="15">
        <f t="shared" si="10"/>
        <v>0</v>
      </c>
      <c r="G292" s="15" t="str">
        <f>IF(AND(D292&gt;0,E292&gt;0),G291+Bottom_Line_Table[[#This Row],[Difference]],"N/A")</f>
        <v>N/A</v>
      </c>
    </row>
    <row r="293" spans="2:7" x14ac:dyDescent="0.3">
      <c r="B293" s="12">
        <v>52232</v>
      </c>
      <c r="C293" s="13">
        <f t="shared" si="11"/>
        <v>52262</v>
      </c>
      <c r="D293" s="14">
        <f>'Income Tracker Data'!V291</f>
        <v>0</v>
      </c>
      <c r="E293" s="15">
        <f>'Expense Tracker Data'!V291</f>
        <v>0</v>
      </c>
      <c r="F293" s="15">
        <f t="shared" si="10"/>
        <v>0</v>
      </c>
      <c r="G293" s="15" t="str">
        <f>IF(AND(D293&gt;0,E293&gt;0),G292+Bottom_Line_Table[[#This Row],[Difference]],"N/A")</f>
        <v>N/A</v>
      </c>
    </row>
    <row r="294" spans="2:7" x14ac:dyDescent="0.3">
      <c r="B294" s="12">
        <v>52263</v>
      </c>
      <c r="C294" s="13">
        <f t="shared" si="11"/>
        <v>52290</v>
      </c>
      <c r="D294" s="14">
        <f>'Income Tracker Data'!V292</f>
        <v>0</v>
      </c>
      <c r="E294" s="15">
        <f>'Expense Tracker Data'!V292</f>
        <v>0</v>
      </c>
      <c r="F294" s="15">
        <f t="shared" si="10"/>
        <v>0</v>
      </c>
      <c r="G294" s="15" t="str">
        <f>IF(AND(D294&gt;0,E294&gt;0),G293+Bottom_Line_Table[[#This Row],[Difference]],"N/A")</f>
        <v>N/A</v>
      </c>
    </row>
    <row r="295" spans="2:7" x14ac:dyDescent="0.3">
      <c r="B295" s="12">
        <v>52291</v>
      </c>
      <c r="C295" s="13">
        <f t="shared" si="11"/>
        <v>52321</v>
      </c>
      <c r="D295" s="14">
        <f>'Income Tracker Data'!V293</f>
        <v>0</v>
      </c>
      <c r="E295" s="15">
        <f>'Expense Tracker Data'!V293</f>
        <v>0</v>
      </c>
      <c r="F295" s="15">
        <f t="shared" si="10"/>
        <v>0</v>
      </c>
      <c r="G295" s="15" t="str">
        <f>IF(AND(D295&gt;0,E295&gt;0),G294+Bottom_Line_Table[[#This Row],[Difference]],"N/A")</f>
        <v>N/A</v>
      </c>
    </row>
    <row r="296" spans="2:7" x14ac:dyDescent="0.3">
      <c r="B296" s="12">
        <v>52322</v>
      </c>
      <c r="C296" s="13">
        <f t="shared" si="11"/>
        <v>52351</v>
      </c>
      <c r="D296" s="14">
        <f>'Income Tracker Data'!V294</f>
        <v>0</v>
      </c>
      <c r="E296" s="15">
        <f>'Expense Tracker Data'!V294</f>
        <v>0</v>
      </c>
      <c r="F296" s="15">
        <f t="shared" si="10"/>
        <v>0</v>
      </c>
      <c r="G296" s="15" t="str">
        <f>IF(AND(D296&gt;0,E296&gt;0),G295+Bottom_Line_Table[[#This Row],[Difference]],"N/A")</f>
        <v>N/A</v>
      </c>
    </row>
    <row r="297" spans="2:7" x14ac:dyDescent="0.3">
      <c r="B297" s="12">
        <v>52352</v>
      </c>
      <c r="C297" s="13">
        <f t="shared" si="11"/>
        <v>52382</v>
      </c>
      <c r="D297" s="14">
        <f>'Income Tracker Data'!V295</f>
        <v>0</v>
      </c>
      <c r="E297" s="15">
        <f>'Expense Tracker Data'!V295</f>
        <v>0</v>
      </c>
      <c r="F297" s="15">
        <f t="shared" si="10"/>
        <v>0</v>
      </c>
      <c r="G297" s="15" t="str">
        <f>IF(AND(D297&gt;0,E297&gt;0),G296+Bottom_Line_Table[[#This Row],[Difference]],"N/A")</f>
        <v>N/A</v>
      </c>
    </row>
    <row r="298" spans="2:7" x14ac:dyDescent="0.3">
      <c r="B298" s="12">
        <v>52383</v>
      </c>
      <c r="C298" s="13">
        <f t="shared" si="11"/>
        <v>52412</v>
      </c>
      <c r="D298" s="14">
        <f>'Income Tracker Data'!V296</f>
        <v>0</v>
      </c>
      <c r="E298" s="15">
        <f>'Expense Tracker Data'!V296</f>
        <v>0</v>
      </c>
      <c r="F298" s="15">
        <f t="shared" si="10"/>
        <v>0</v>
      </c>
      <c r="G298" s="15" t="str">
        <f>IF(AND(D298&gt;0,E298&gt;0),G297+Bottom_Line_Table[[#This Row],[Difference]],"N/A")</f>
        <v>N/A</v>
      </c>
    </row>
    <row r="299" spans="2:7" x14ac:dyDescent="0.3">
      <c r="B299" s="12">
        <v>52413</v>
      </c>
      <c r="C299" s="13">
        <f t="shared" si="11"/>
        <v>52443</v>
      </c>
      <c r="D299" s="14">
        <f>'Income Tracker Data'!V297</f>
        <v>0</v>
      </c>
      <c r="E299" s="15">
        <f>'Expense Tracker Data'!V297</f>
        <v>0</v>
      </c>
      <c r="F299" s="15">
        <f t="shared" si="10"/>
        <v>0</v>
      </c>
      <c r="G299" s="15" t="str">
        <f>IF(AND(D299&gt;0,E299&gt;0),G298+Bottom_Line_Table[[#This Row],[Difference]],"N/A")</f>
        <v>N/A</v>
      </c>
    </row>
    <row r="300" spans="2:7" x14ac:dyDescent="0.3">
      <c r="B300" s="12">
        <v>52444</v>
      </c>
      <c r="C300" s="13">
        <f t="shared" si="11"/>
        <v>52474</v>
      </c>
      <c r="D300" s="14">
        <f>'Income Tracker Data'!V298</f>
        <v>0</v>
      </c>
      <c r="E300" s="15">
        <f>'Expense Tracker Data'!V298</f>
        <v>0</v>
      </c>
      <c r="F300" s="15">
        <f t="shared" si="10"/>
        <v>0</v>
      </c>
      <c r="G300" s="15" t="str">
        <f>IF(AND(D300&gt;0,E300&gt;0),G299+Bottom_Line_Table[[#This Row],[Difference]],"N/A")</f>
        <v>N/A</v>
      </c>
    </row>
    <row r="301" spans="2:7" x14ac:dyDescent="0.3">
      <c r="B301" s="12">
        <v>52475</v>
      </c>
      <c r="C301" s="13">
        <f t="shared" si="11"/>
        <v>52504</v>
      </c>
      <c r="D301" s="14">
        <f>'Income Tracker Data'!V299</f>
        <v>0</v>
      </c>
      <c r="E301" s="15">
        <f>'Expense Tracker Data'!V299</f>
        <v>0</v>
      </c>
      <c r="F301" s="15">
        <f t="shared" si="10"/>
        <v>0</v>
      </c>
      <c r="G301" s="15" t="str">
        <f>IF(AND(D301&gt;0,E301&gt;0),G300+Bottom_Line_Table[[#This Row],[Difference]],"N/A")</f>
        <v>N/A</v>
      </c>
    </row>
    <row r="302" spans="2:7" x14ac:dyDescent="0.3">
      <c r="B302" s="12">
        <v>52505</v>
      </c>
      <c r="C302" s="13">
        <f t="shared" si="11"/>
        <v>52535</v>
      </c>
      <c r="D302" s="14">
        <f>'Income Tracker Data'!V300</f>
        <v>0</v>
      </c>
      <c r="E302" s="15">
        <f>'Expense Tracker Data'!V300</f>
        <v>0</v>
      </c>
      <c r="F302" s="15">
        <f t="shared" si="10"/>
        <v>0</v>
      </c>
      <c r="G302" s="15" t="str">
        <f>IF(AND(D302&gt;0,E302&gt;0),G301+Bottom_Line_Table[[#This Row],[Difference]],"N/A")</f>
        <v>N/A</v>
      </c>
    </row>
    <row r="303" spans="2:7" x14ac:dyDescent="0.3">
      <c r="B303" s="12">
        <v>52536</v>
      </c>
      <c r="C303" s="13">
        <f t="shared" si="11"/>
        <v>52565</v>
      </c>
      <c r="D303" s="14">
        <f>'Income Tracker Data'!V301</f>
        <v>0</v>
      </c>
      <c r="E303" s="15">
        <f>'Expense Tracker Data'!V301</f>
        <v>0</v>
      </c>
      <c r="F303" s="15">
        <f t="shared" si="10"/>
        <v>0</v>
      </c>
      <c r="G303" s="15" t="str">
        <f>IF(AND(D303&gt;0,E303&gt;0),G302+Bottom_Line_Table[[#This Row],[Difference]],"N/A")</f>
        <v>N/A</v>
      </c>
    </row>
    <row r="304" spans="2:7" x14ac:dyDescent="0.3">
      <c r="B304" s="12">
        <v>52566</v>
      </c>
      <c r="C304" s="13">
        <f t="shared" si="11"/>
        <v>52596</v>
      </c>
      <c r="D304" s="14">
        <f>'Income Tracker Data'!V302</f>
        <v>0</v>
      </c>
      <c r="E304" s="15">
        <f>'Expense Tracker Data'!V302</f>
        <v>0</v>
      </c>
      <c r="F304" s="15">
        <f t="shared" si="10"/>
        <v>0</v>
      </c>
      <c r="G304" s="15" t="str">
        <f>IF(AND(D304&gt;0,E304&gt;0),G303+Bottom_Line_Table[[#This Row],[Difference]],"N/A")</f>
        <v>N/A</v>
      </c>
    </row>
    <row r="305" spans="2:7" x14ac:dyDescent="0.3">
      <c r="B305" s="12">
        <v>52597</v>
      </c>
      <c r="C305" s="13">
        <f t="shared" si="11"/>
        <v>52627</v>
      </c>
      <c r="D305" s="14">
        <f>'Income Tracker Data'!V303</f>
        <v>0</v>
      </c>
      <c r="E305" s="15">
        <f>'Expense Tracker Data'!V303</f>
        <v>0</v>
      </c>
      <c r="F305" s="15">
        <f t="shared" si="10"/>
        <v>0</v>
      </c>
      <c r="G305" s="15" t="str">
        <f>IF(AND(D305&gt;0,E305&gt;0),G304+Bottom_Line_Table[[#This Row],[Difference]],"N/A")</f>
        <v>N/A</v>
      </c>
    </row>
    <row r="306" spans="2:7" x14ac:dyDescent="0.3">
      <c r="B306" s="12">
        <v>52628</v>
      </c>
      <c r="C306" s="13">
        <f t="shared" si="11"/>
        <v>52656</v>
      </c>
      <c r="D306" s="14">
        <f>'Income Tracker Data'!V304</f>
        <v>0</v>
      </c>
      <c r="E306" s="15">
        <f>'Expense Tracker Data'!V304</f>
        <v>0</v>
      </c>
      <c r="F306" s="15">
        <f t="shared" si="10"/>
        <v>0</v>
      </c>
      <c r="G306" s="15" t="str">
        <f>IF(AND(D306&gt;0,E306&gt;0),G305+Bottom_Line_Table[[#This Row],[Difference]],"N/A")</f>
        <v>N/A</v>
      </c>
    </row>
    <row r="307" spans="2:7" x14ac:dyDescent="0.3">
      <c r="B307" s="12">
        <v>52657</v>
      </c>
      <c r="C307" s="13">
        <f t="shared" si="11"/>
        <v>52687</v>
      </c>
      <c r="D307" s="14">
        <f>'Income Tracker Data'!V305</f>
        <v>0</v>
      </c>
      <c r="E307" s="15">
        <f>'Expense Tracker Data'!V305</f>
        <v>0</v>
      </c>
      <c r="F307" s="15">
        <f t="shared" si="10"/>
        <v>0</v>
      </c>
      <c r="G307" s="15" t="str">
        <f>IF(AND(D307&gt;0,E307&gt;0),G306+Bottom_Line_Table[[#This Row],[Difference]],"N/A")</f>
        <v>N/A</v>
      </c>
    </row>
    <row r="308" spans="2:7" x14ac:dyDescent="0.3">
      <c r="B308" s="12">
        <v>52688</v>
      </c>
      <c r="C308" s="13">
        <f t="shared" si="11"/>
        <v>52717</v>
      </c>
      <c r="D308" s="14">
        <f>'Income Tracker Data'!V306</f>
        <v>0</v>
      </c>
      <c r="E308" s="15">
        <f>'Expense Tracker Data'!V306</f>
        <v>0</v>
      </c>
      <c r="F308" s="15">
        <f t="shared" si="10"/>
        <v>0</v>
      </c>
      <c r="G308" s="15" t="str">
        <f>IF(AND(D308&gt;0,E308&gt;0),G307+Bottom_Line_Table[[#This Row],[Difference]],"N/A")</f>
        <v>N/A</v>
      </c>
    </row>
    <row r="309" spans="2:7" x14ac:dyDescent="0.3">
      <c r="B309" s="12">
        <v>52718</v>
      </c>
      <c r="C309" s="13">
        <f t="shared" si="11"/>
        <v>52748</v>
      </c>
      <c r="D309" s="14">
        <f>'Income Tracker Data'!V307</f>
        <v>0</v>
      </c>
      <c r="E309" s="15">
        <f>'Expense Tracker Data'!V307</f>
        <v>0</v>
      </c>
      <c r="F309" s="15">
        <f t="shared" si="10"/>
        <v>0</v>
      </c>
      <c r="G309" s="15" t="str">
        <f>IF(AND(D309&gt;0,E309&gt;0),G308+Bottom_Line_Table[[#This Row],[Difference]],"N/A")</f>
        <v>N/A</v>
      </c>
    </row>
    <row r="310" spans="2:7" x14ac:dyDescent="0.3">
      <c r="B310" s="12">
        <v>52749</v>
      </c>
      <c r="C310" s="13">
        <f t="shared" si="11"/>
        <v>52778</v>
      </c>
      <c r="D310" s="14">
        <f>'Income Tracker Data'!V308</f>
        <v>0</v>
      </c>
      <c r="E310" s="15">
        <f>'Expense Tracker Data'!V308</f>
        <v>0</v>
      </c>
      <c r="F310" s="15">
        <f t="shared" si="10"/>
        <v>0</v>
      </c>
      <c r="G310" s="15" t="str">
        <f>IF(AND(D310&gt;0,E310&gt;0),G309+Bottom_Line_Table[[#This Row],[Difference]],"N/A")</f>
        <v>N/A</v>
      </c>
    </row>
    <row r="311" spans="2:7" x14ac:dyDescent="0.3">
      <c r="B311" s="12">
        <v>52779</v>
      </c>
      <c r="C311" s="13">
        <f t="shared" si="11"/>
        <v>52809</v>
      </c>
      <c r="D311" s="14">
        <f>'Income Tracker Data'!V309</f>
        <v>0</v>
      </c>
      <c r="E311" s="15">
        <f>'Expense Tracker Data'!V309</f>
        <v>0</v>
      </c>
      <c r="F311" s="15">
        <f t="shared" si="10"/>
        <v>0</v>
      </c>
      <c r="G311" s="15" t="str">
        <f>IF(AND(D311&gt;0,E311&gt;0),G310+Bottom_Line_Table[[#This Row],[Difference]],"N/A")</f>
        <v>N/A</v>
      </c>
    </row>
    <row r="312" spans="2:7" x14ac:dyDescent="0.3">
      <c r="B312" s="12">
        <v>52810</v>
      </c>
      <c r="C312" s="13">
        <f t="shared" si="11"/>
        <v>52840</v>
      </c>
      <c r="D312" s="14">
        <f>'Income Tracker Data'!V310</f>
        <v>0</v>
      </c>
      <c r="E312" s="15">
        <f>'Expense Tracker Data'!V310</f>
        <v>0</v>
      </c>
      <c r="F312" s="15">
        <f t="shared" si="10"/>
        <v>0</v>
      </c>
      <c r="G312" s="15" t="str">
        <f>IF(AND(D312&gt;0,E312&gt;0),G311+Bottom_Line_Table[[#This Row],[Difference]],"N/A")</f>
        <v>N/A</v>
      </c>
    </row>
    <row r="313" spans="2:7" x14ac:dyDescent="0.3">
      <c r="B313" s="12">
        <v>52841</v>
      </c>
      <c r="C313" s="13">
        <f t="shared" si="11"/>
        <v>52870</v>
      </c>
      <c r="D313" s="14">
        <f>'Income Tracker Data'!V311</f>
        <v>0</v>
      </c>
      <c r="E313" s="15">
        <f>'Expense Tracker Data'!V311</f>
        <v>0</v>
      </c>
      <c r="F313" s="15">
        <f t="shared" si="10"/>
        <v>0</v>
      </c>
      <c r="G313" s="15" t="str">
        <f>IF(AND(D313&gt;0,E313&gt;0),G312+Bottom_Line_Table[[#This Row],[Difference]],"N/A")</f>
        <v>N/A</v>
      </c>
    </row>
    <row r="314" spans="2:7" x14ac:dyDescent="0.3">
      <c r="B314" s="12">
        <v>52871</v>
      </c>
      <c r="C314" s="13">
        <f t="shared" si="11"/>
        <v>52901</v>
      </c>
      <c r="D314" s="14">
        <f>'Income Tracker Data'!V312</f>
        <v>0</v>
      </c>
      <c r="E314" s="15">
        <f>'Expense Tracker Data'!V312</f>
        <v>0</v>
      </c>
      <c r="F314" s="15">
        <f t="shared" si="10"/>
        <v>0</v>
      </c>
      <c r="G314" s="15" t="str">
        <f>IF(AND(D314&gt;0,E314&gt;0),G313+Bottom_Line_Table[[#This Row],[Difference]],"N/A")</f>
        <v>N/A</v>
      </c>
    </row>
    <row r="315" spans="2:7" x14ac:dyDescent="0.3">
      <c r="B315" s="12">
        <v>52902</v>
      </c>
      <c r="C315" s="13">
        <f t="shared" si="11"/>
        <v>52931</v>
      </c>
      <c r="D315" s="14">
        <f>'Income Tracker Data'!V313</f>
        <v>0</v>
      </c>
      <c r="E315" s="15">
        <f>'Expense Tracker Data'!V313</f>
        <v>0</v>
      </c>
      <c r="F315" s="15">
        <f t="shared" si="10"/>
        <v>0</v>
      </c>
      <c r="G315" s="15" t="str">
        <f>IF(AND(D315&gt;0,E315&gt;0),G314+Bottom_Line_Table[[#This Row],[Difference]],"N/A")</f>
        <v>N/A</v>
      </c>
    </row>
    <row r="316" spans="2:7" x14ac:dyDescent="0.3">
      <c r="B316" s="12">
        <v>52932</v>
      </c>
      <c r="C316" s="13">
        <f t="shared" si="11"/>
        <v>52962</v>
      </c>
      <c r="D316" s="14">
        <f>'Income Tracker Data'!V314</f>
        <v>0</v>
      </c>
      <c r="E316" s="15">
        <f>'Expense Tracker Data'!V314</f>
        <v>0</v>
      </c>
      <c r="F316" s="15">
        <f t="shared" si="10"/>
        <v>0</v>
      </c>
      <c r="G316" s="15" t="str">
        <f>IF(AND(D316&gt;0,E316&gt;0),G315+Bottom_Line_Table[[#This Row],[Difference]],"N/A")</f>
        <v>N/A</v>
      </c>
    </row>
    <row r="317" spans="2:7" x14ac:dyDescent="0.3">
      <c r="B317" s="12">
        <v>52963</v>
      </c>
      <c r="C317" s="13">
        <f t="shared" si="11"/>
        <v>52993</v>
      </c>
      <c r="D317" s="14">
        <f>'Income Tracker Data'!V315</f>
        <v>0</v>
      </c>
      <c r="E317" s="15">
        <f>'Expense Tracker Data'!V315</f>
        <v>0</v>
      </c>
      <c r="F317" s="15">
        <f t="shared" si="10"/>
        <v>0</v>
      </c>
      <c r="G317" s="15" t="str">
        <f>IF(AND(D317&gt;0,E317&gt;0),G316+Bottom_Line_Table[[#This Row],[Difference]],"N/A")</f>
        <v>N/A</v>
      </c>
    </row>
    <row r="318" spans="2:7" x14ac:dyDescent="0.3">
      <c r="B318" s="12">
        <v>52994</v>
      </c>
      <c r="C318" s="13">
        <f t="shared" si="11"/>
        <v>53021</v>
      </c>
      <c r="D318" s="14">
        <f>'Income Tracker Data'!V316</f>
        <v>0</v>
      </c>
      <c r="E318" s="15">
        <f>'Expense Tracker Data'!V316</f>
        <v>0</v>
      </c>
      <c r="F318" s="15">
        <f t="shared" si="10"/>
        <v>0</v>
      </c>
      <c r="G318" s="15" t="str">
        <f>IF(AND(D318&gt;0,E318&gt;0),G317+Bottom_Line_Table[[#This Row],[Difference]],"N/A")</f>
        <v>N/A</v>
      </c>
    </row>
    <row r="319" spans="2:7" x14ac:dyDescent="0.3">
      <c r="B319" s="12">
        <v>53022</v>
      </c>
      <c r="C319" s="13">
        <f t="shared" si="11"/>
        <v>53052</v>
      </c>
      <c r="D319" s="14">
        <f>'Income Tracker Data'!V317</f>
        <v>0</v>
      </c>
      <c r="E319" s="15">
        <f>'Expense Tracker Data'!V317</f>
        <v>0</v>
      </c>
      <c r="F319" s="15">
        <f t="shared" si="10"/>
        <v>0</v>
      </c>
      <c r="G319" s="15" t="str">
        <f>IF(AND(D319&gt;0,E319&gt;0),G318+Bottom_Line_Table[[#This Row],[Difference]],"N/A")</f>
        <v>N/A</v>
      </c>
    </row>
    <row r="320" spans="2:7" x14ac:dyDescent="0.3">
      <c r="B320" s="12">
        <v>53053</v>
      </c>
      <c r="C320" s="13">
        <f t="shared" si="11"/>
        <v>53082</v>
      </c>
      <c r="D320" s="14">
        <f>'Income Tracker Data'!V318</f>
        <v>0</v>
      </c>
      <c r="E320" s="15">
        <f>'Expense Tracker Data'!V318</f>
        <v>0</v>
      </c>
      <c r="F320" s="15">
        <f t="shared" si="10"/>
        <v>0</v>
      </c>
      <c r="G320" s="15" t="str">
        <f>IF(AND(D320&gt;0,E320&gt;0),G319+Bottom_Line_Table[[#This Row],[Difference]],"N/A")</f>
        <v>N/A</v>
      </c>
    </row>
    <row r="321" spans="2:7" x14ac:dyDescent="0.3">
      <c r="B321" s="12">
        <v>53083</v>
      </c>
      <c r="C321" s="13">
        <f t="shared" si="11"/>
        <v>53113</v>
      </c>
      <c r="D321" s="14">
        <f>'Income Tracker Data'!V319</f>
        <v>0</v>
      </c>
      <c r="E321" s="15">
        <f>'Expense Tracker Data'!V319</f>
        <v>0</v>
      </c>
      <c r="F321" s="15">
        <f t="shared" si="10"/>
        <v>0</v>
      </c>
      <c r="G321" s="15" t="str">
        <f>IF(AND(D321&gt;0,E321&gt;0),G320+Bottom_Line_Table[[#This Row],[Difference]],"N/A")</f>
        <v>N/A</v>
      </c>
    </row>
    <row r="322" spans="2:7" x14ac:dyDescent="0.3">
      <c r="B322" s="12">
        <v>53114</v>
      </c>
      <c r="C322" s="13">
        <f t="shared" si="11"/>
        <v>53143</v>
      </c>
      <c r="D322" s="14">
        <f>'Income Tracker Data'!V320</f>
        <v>0</v>
      </c>
      <c r="E322" s="15">
        <f>'Expense Tracker Data'!V320</f>
        <v>0</v>
      </c>
      <c r="F322" s="15">
        <f t="shared" si="10"/>
        <v>0</v>
      </c>
      <c r="G322" s="15" t="str">
        <f>IF(AND(D322&gt;0,E322&gt;0),G321+Bottom_Line_Table[[#This Row],[Difference]],"N/A")</f>
        <v>N/A</v>
      </c>
    </row>
    <row r="323" spans="2:7" x14ac:dyDescent="0.3">
      <c r="B323" s="12">
        <v>53144</v>
      </c>
      <c r="C323" s="13">
        <f t="shared" si="11"/>
        <v>53174</v>
      </c>
      <c r="D323" s="14">
        <f>'Income Tracker Data'!V321</f>
        <v>0</v>
      </c>
      <c r="E323" s="15">
        <f>'Expense Tracker Data'!V321</f>
        <v>0</v>
      </c>
      <c r="F323" s="15">
        <f t="shared" si="10"/>
        <v>0</v>
      </c>
      <c r="G323" s="15" t="str">
        <f>IF(AND(D323&gt;0,E323&gt;0),G322+Bottom_Line_Table[[#This Row],[Difference]],"N/A")</f>
        <v>N/A</v>
      </c>
    </row>
    <row r="324" spans="2:7" x14ac:dyDescent="0.3">
      <c r="B324" s="12">
        <v>53175</v>
      </c>
      <c r="C324" s="13">
        <f t="shared" si="11"/>
        <v>53205</v>
      </c>
      <c r="D324" s="14">
        <f>'Income Tracker Data'!V322</f>
        <v>0</v>
      </c>
      <c r="E324" s="15">
        <f>'Expense Tracker Data'!V322</f>
        <v>0</v>
      </c>
      <c r="F324" s="15">
        <f t="shared" si="10"/>
        <v>0</v>
      </c>
      <c r="G324" s="15" t="str">
        <f>IF(AND(D324&gt;0,E324&gt;0),G323+Bottom_Line_Table[[#This Row],[Difference]],"N/A")</f>
        <v>N/A</v>
      </c>
    </row>
    <row r="325" spans="2:7" x14ac:dyDescent="0.3">
      <c r="B325" s="12">
        <v>53206</v>
      </c>
      <c r="C325" s="13">
        <f t="shared" si="11"/>
        <v>53235</v>
      </c>
      <c r="D325" s="14">
        <f>'Income Tracker Data'!V323</f>
        <v>0</v>
      </c>
      <c r="E325" s="15">
        <f>'Expense Tracker Data'!V323</f>
        <v>0</v>
      </c>
      <c r="F325" s="15">
        <f t="shared" si="10"/>
        <v>0</v>
      </c>
      <c r="G325" s="15" t="str">
        <f>IF(AND(D325&gt;0,E325&gt;0),G324+Bottom_Line_Table[[#This Row],[Difference]],"N/A")</f>
        <v>N/A</v>
      </c>
    </row>
    <row r="326" spans="2:7" x14ac:dyDescent="0.3">
      <c r="B326" s="12">
        <v>53236</v>
      </c>
      <c r="C326" s="13">
        <f t="shared" si="11"/>
        <v>53266</v>
      </c>
      <c r="D326" s="14">
        <f>'Income Tracker Data'!V324</f>
        <v>0</v>
      </c>
      <c r="E326" s="15">
        <f>'Expense Tracker Data'!V324</f>
        <v>0</v>
      </c>
      <c r="F326" s="15">
        <f t="shared" ref="F326:F389" si="12">D326-E326</f>
        <v>0</v>
      </c>
      <c r="G326" s="15" t="str">
        <f>IF(AND(D326&gt;0,E326&gt;0),G325+Bottom_Line_Table[[#This Row],[Difference]],"N/A")</f>
        <v>N/A</v>
      </c>
    </row>
    <row r="327" spans="2:7" x14ac:dyDescent="0.3">
      <c r="B327" s="12">
        <v>53267</v>
      </c>
      <c r="C327" s="13">
        <f t="shared" si="11"/>
        <v>53296</v>
      </c>
      <c r="D327" s="14">
        <f>'Income Tracker Data'!V325</f>
        <v>0</v>
      </c>
      <c r="E327" s="15">
        <f>'Expense Tracker Data'!V325</f>
        <v>0</v>
      </c>
      <c r="F327" s="15">
        <f t="shared" si="12"/>
        <v>0</v>
      </c>
      <c r="G327" s="15" t="str">
        <f>IF(AND(D327&gt;0,E327&gt;0),G326+Bottom_Line_Table[[#This Row],[Difference]],"N/A")</f>
        <v>N/A</v>
      </c>
    </row>
    <row r="328" spans="2:7" x14ac:dyDescent="0.3">
      <c r="B328" s="12">
        <v>53297</v>
      </c>
      <c r="C328" s="13">
        <f t="shared" si="11"/>
        <v>53327</v>
      </c>
      <c r="D328" s="14">
        <f>'Income Tracker Data'!V326</f>
        <v>0</v>
      </c>
      <c r="E328" s="15">
        <f>'Expense Tracker Data'!V326</f>
        <v>0</v>
      </c>
      <c r="F328" s="15">
        <f t="shared" si="12"/>
        <v>0</v>
      </c>
      <c r="G328" s="15" t="str">
        <f>IF(AND(D328&gt;0,E328&gt;0),G327+Bottom_Line_Table[[#This Row],[Difference]],"N/A")</f>
        <v>N/A</v>
      </c>
    </row>
    <row r="329" spans="2:7" x14ac:dyDescent="0.3">
      <c r="B329" s="12">
        <v>53328</v>
      </c>
      <c r="C329" s="13">
        <f t="shared" si="11"/>
        <v>53358</v>
      </c>
      <c r="D329" s="14">
        <f>'Income Tracker Data'!V327</f>
        <v>0</v>
      </c>
      <c r="E329" s="15">
        <f>'Expense Tracker Data'!V327</f>
        <v>0</v>
      </c>
      <c r="F329" s="15">
        <f t="shared" si="12"/>
        <v>0</v>
      </c>
      <c r="G329" s="15" t="str">
        <f>IF(AND(D329&gt;0,E329&gt;0),G328+Bottom_Line_Table[[#This Row],[Difference]],"N/A")</f>
        <v>N/A</v>
      </c>
    </row>
    <row r="330" spans="2:7" x14ac:dyDescent="0.3">
      <c r="B330" s="12">
        <v>53359</v>
      </c>
      <c r="C330" s="13">
        <f t="shared" si="11"/>
        <v>53386</v>
      </c>
      <c r="D330" s="14">
        <f>'Income Tracker Data'!V328</f>
        <v>0</v>
      </c>
      <c r="E330" s="15">
        <f>'Expense Tracker Data'!V328</f>
        <v>0</v>
      </c>
      <c r="F330" s="15">
        <f t="shared" si="12"/>
        <v>0</v>
      </c>
      <c r="G330" s="15" t="str">
        <f>IF(AND(D330&gt;0,E330&gt;0),G329+Bottom_Line_Table[[#This Row],[Difference]],"N/A")</f>
        <v>N/A</v>
      </c>
    </row>
    <row r="331" spans="2:7" x14ac:dyDescent="0.3">
      <c r="B331" s="12">
        <v>53387</v>
      </c>
      <c r="C331" s="13">
        <f t="shared" ref="C331:C394" si="13">EOMONTH(B331,0)</f>
        <v>53417</v>
      </c>
      <c r="D331" s="14">
        <f>'Income Tracker Data'!V329</f>
        <v>0</v>
      </c>
      <c r="E331" s="15">
        <f>'Expense Tracker Data'!V329</f>
        <v>0</v>
      </c>
      <c r="F331" s="15">
        <f t="shared" si="12"/>
        <v>0</v>
      </c>
      <c r="G331" s="15" t="str">
        <f>IF(AND(D331&gt;0,E331&gt;0),G330+Bottom_Line_Table[[#This Row],[Difference]],"N/A")</f>
        <v>N/A</v>
      </c>
    </row>
    <row r="332" spans="2:7" x14ac:dyDescent="0.3">
      <c r="B332" s="12">
        <v>53418</v>
      </c>
      <c r="C332" s="13">
        <f t="shared" si="13"/>
        <v>53447</v>
      </c>
      <c r="D332" s="14">
        <f>'Income Tracker Data'!V330</f>
        <v>0</v>
      </c>
      <c r="E332" s="15">
        <f>'Expense Tracker Data'!V330</f>
        <v>0</v>
      </c>
      <c r="F332" s="15">
        <f t="shared" si="12"/>
        <v>0</v>
      </c>
      <c r="G332" s="15" t="str">
        <f>IF(AND(D332&gt;0,E332&gt;0),G331+Bottom_Line_Table[[#This Row],[Difference]],"N/A")</f>
        <v>N/A</v>
      </c>
    </row>
    <row r="333" spans="2:7" x14ac:dyDescent="0.3">
      <c r="B333" s="12">
        <v>53448</v>
      </c>
      <c r="C333" s="13">
        <f t="shared" si="13"/>
        <v>53478</v>
      </c>
      <c r="D333" s="14">
        <f>'Income Tracker Data'!V331</f>
        <v>0</v>
      </c>
      <c r="E333" s="15">
        <f>'Expense Tracker Data'!V331</f>
        <v>0</v>
      </c>
      <c r="F333" s="15">
        <f t="shared" si="12"/>
        <v>0</v>
      </c>
      <c r="G333" s="15" t="str">
        <f>IF(AND(D333&gt;0,E333&gt;0),G332+Bottom_Line_Table[[#This Row],[Difference]],"N/A")</f>
        <v>N/A</v>
      </c>
    </row>
    <row r="334" spans="2:7" x14ac:dyDescent="0.3">
      <c r="B334" s="12">
        <v>53479</v>
      </c>
      <c r="C334" s="13">
        <f t="shared" si="13"/>
        <v>53508</v>
      </c>
      <c r="D334" s="14">
        <f>'Income Tracker Data'!V332</f>
        <v>0</v>
      </c>
      <c r="E334" s="15">
        <f>'Expense Tracker Data'!V332</f>
        <v>0</v>
      </c>
      <c r="F334" s="15">
        <f t="shared" si="12"/>
        <v>0</v>
      </c>
      <c r="G334" s="15" t="str">
        <f>IF(AND(D334&gt;0,E334&gt;0),G333+Bottom_Line_Table[[#This Row],[Difference]],"N/A")</f>
        <v>N/A</v>
      </c>
    </row>
    <row r="335" spans="2:7" x14ac:dyDescent="0.3">
      <c r="B335" s="12">
        <v>53509</v>
      </c>
      <c r="C335" s="13">
        <f t="shared" si="13"/>
        <v>53539</v>
      </c>
      <c r="D335" s="14">
        <f>'Income Tracker Data'!V333</f>
        <v>0</v>
      </c>
      <c r="E335" s="15">
        <f>'Expense Tracker Data'!V333</f>
        <v>0</v>
      </c>
      <c r="F335" s="15">
        <f t="shared" si="12"/>
        <v>0</v>
      </c>
      <c r="G335" s="15" t="str">
        <f>IF(AND(D335&gt;0,E335&gt;0),G334+Bottom_Line_Table[[#This Row],[Difference]],"N/A")</f>
        <v>N/A</v>
      </c>
    </row>
    <row r="336" spans="2:7" x14ac:dyDescent="0.3">
      <c r="B336" s="12">
        <v>53540</v>
      </c>
      <c r="C336" s="13">
        <f t="shared" si="13"/>
        <v>53570</v>
      </c>
      <c r="D336" s="14">
        <f>'Income Tracker Data'!V334</f>
        <v>0</v>
      </c>
      <c r="E336" s="15">
        <f>'Expense Tracker Data'!V334</f>
        <v>0</v>
      </c>
      <c r="F336" s="15">
        <f t="shared" si="12"/>
        <v>0</v>
      </c>
      <c r="G336" s="15" t="str">
        <f>IF(AND(D336&gt;0,E336&gt;0),G335+Bottom_Line_Table[[#This Row],[Difference]],"N/A")</f>
        <v>N/A</v>
      </c>
    </row>
    <row r="337" spans="2:7" x14ac:dyDescent="0.3">
      <c r="B337" s="12">
        <v>53571</v>
      </c>
      <c r="C337" s="13">
        <f t="shared" si="13"/>
        <v>53600</v>
      </c>
      <c r="D337" s="14">
        <f>'Income Tracker Data'!V335</f>
        <v>0</v>
      </c>
      <c r="E337" s="15">
        <f>'Expense Tracker Data'!V335</f>
        <v>0</v>
      </c>
      <c r="F337" s="15">
        <f t="shared" si="12"/>
        <v>0</v>
      </c>
      <c r="G337" s="15" t="str">
        <f>IF(AND(D337&gt;0,E337&gt;0),G336+Bottom_Line_Table[[#This Row],[Difference]],"N/A")</f>
        <v>N/A</v>
      </c>
    </row>
    <row r="338" spans="2:7" x14ac:dyDescent="0.3">
      <c r="B338" s="12">
        <v>53601</v>
      </c>
      <c r="C338" s="13">
        <f t="shared" si="13"/>
        <v>53631</v>
      </c>
      <c r="D338" s="14">
        <f>'Income Tracker Data'!V336</f>
        <v>0</v>
      </c>
      <c r="E338" s="15">
        <f>'Expense Tracker Data'!V336</f>
        <v>0</v>
      </c>
      <c r="F338" s="15">
        <f t="shared" si="12"/>
        <v>0</v>
      </c>
      <c r="G338" s="15" t="str">
        <f>IF(AND(D338&gt;0,E338&gt;0),G337+Bottom_Line_Table[[#This Row],[Difference]],"N/A")</f>
        <v>N/A</v>
      </c>
    </row>
    <row r="339" spans="2:7" x14ac:dyDescent="0.3">
      <c r="B339" s="12">
        <v>53632</v>
      </c>
      <c r="C339" s="13">
        <f t="shared" si="13"/>
        <v>53661</v>
      </c>
      <c r="D339" s="14">
        <f>'Income Tracker Data'!V337</f>
        <v>0</v>
      </c>
      <c r="E339" s="15">
        <f>'Expense Tracker Data'!V337</f>
        <v>0</v>
      </c>
      <c r="F339" s="15">
        <f t="shared" si="12"/>
        <v>0</v>
      </c>
      <c r="G339" s="15" t="str">
        <f>IF(AND(D339&gt;0,E339&gt;0),G338+Bottom_Line_Table[[#This Row],[Difference]],"N/A")</f>
        <v>N/A</v>
      </c>
    </row>
    <row r="340" spans="2:7" x14ac:dyDescent="0.3">
      <c r="B340" s="12">
        <v>53662</v>
      </c>
      <c r="C340" s="13">
        <f t="shared" si="13"/>
        <v>53692</v>
      </c>
      <c r="D340" s="14">
        <f>'Income Tracker Data'!V338</f>
        <v>0</v>
      </c>
      <c r="E340" s="15">
        <f>'Expense Tracker Data'!V338</f>
        <v>0</v>
      </c>
      <c r="F340" s="15">
        <f t="shared" si="12"/>
        <v>0</v>
      </c>
      <c r="G340" s="15" t="str">
        <f>IF(AND(D340&gt;0,E340&gt;0),G339+Bottom_Line_Table[[#This Row],[Difference]],"N/A")</f>
        <v>N/A</v>
      </c>
    </row>
    <row r="341" spans="2:7" x14ac:dyDescent="0.3">
      <c r="B341" s="12">
        <v>53693</v>
      </c>
      <c r="C341" s="13">
        <f t="shared" si="13"/>
        <v>53723</v>
      </c>
      <c r="D341" s="14">
        <f>'Income Tracker Data'!V339</f>
        <v>0</v>
      </c>
      <c r="E341" s="15">
        <f>'Expense Tracker Data'!V339</f>
        <v>0</v>
      </c>
      <c r="F341" s="15">
        <f t="shared" si="12"/>
        <v>0</v>
      </c>
      <c r="G341" s="15" t="str">
        <f>IF(AND(D341&gt;0,E341&gt;0),G340+Bottom_Line_Table[[#This Row],[Difference]],"N/A")</f>
        <v>N/A</v>
      </c>
    </row>
    <row r="342" spans="2:7" x14ac:dyDescent="0.3">
      <c r="B342" s="12">
        <v>53724</v>
      </c>
      <c r="C342" s="13">
        <f t="shared" si="13"/>
        <v>53751</v>
      </c>
      <c r="D342" s="14">
        <f>'Income Tracker Data'!V340</f>
        <v>0</v>
      </c>
      <c r="E342" s="15">
        <f>'Expense Tracker Data'!V340</f>
        <v>0</v>
      </c>
      <c r="F342" s="15">
        <f t="shared" si="12"/>
        <v>0</v>
      </c>
      <c r="G342" s="15" t="str">
        <f>IF(AND(D342&gt;0,E342&gt;0),G341+Bottom_Line_Table[[#This Row],[Difference]],"N/A")</f>
        <v>N/A</v>
      </c>
    </row>
    <row r="343" spans="2:7" x14ac:dyDescent="0.3">
      <c r="B343" s="12">
        <v>53752</v>
      </c>
      <c r="C343" s="13">
        <f t="shared" si="13"/>
        <v>53782</v>
      </c>
      <c r="D343" s="14">
        <f>'Income Tracker Data'!V341</f>
        <v>0</v>
      </c>
      <c r="E343" s="15">
        <f>'Expense Tracker Data'!V341</f>
        <v>0</v>
      </c>
      <c r="F343" s="15">
        <f t="shared" si="12"/>
        <v>0</v>
      </c>
      <c r="G343" s="15" t="str">
        <f>IF(AND(D343&gt;0,E343&gt;0),G342+Bottom_Line_Table[[#This Row],[Difference]],"N/A")</f>
        <v>N/A</v>
      </c>
    </row>
    <row r="344" spans="2:7" x14ac:dyDescent="0.3">
      <c r="B344" s="12">
        <v>53783</v>
      </c>
      <c r="C344" s="13">
        <f t="shared" si="13"/>
        <v>53812</v>
      </c>
      <c r="D344" s="14">
        <f>'Income Tracker Data'!V342</f>
        <v>0</v>
      </c>
      <c r="E344" s="15">
        <f>'Expense Tracker Data'!V342</f>
        <v>0</v>
      </c>
      <c r="F344" s="15">
        <f t="shared" si="12"/>
        <v>0</v>
      </c>
      <c r="G344" s="15" t="str">
        <f>IF(AND(D344&gt;0,E344&gt;0),G343+Bottom_Line_Table[[#This Row],[Difference]],"N/A")</f>
        <v>N/A</v>
      </c>
    </row>
    <row r="345" spans="2:7" x14ac:dyDescent="0.3">
      <c r="B345" s="12">
        <v>53813</v>
      </c>
      <c r="C345" s="13">
        <f t="shared" si="13"/>
        <v>53843</v>
      </c>
      <c r="D345" s="14">
        <f>'Income Tracker Data'!V343</f>
        <v>0</v>
      </c>
      <c r="E345" s="15">
        <f>'Expense Tracker Data'!V343</f>
        <v>0</v>
      </c>
      <c r="F345" s="15">
        <f t="shared" si="12"/>
        <v>0</v>
      </c>
      <c r="G345" s="15" t="str">
        <f>IF(AND(D345&gt;0,E345&gt;0),G344+Bottom_Line_Table[[#This Row],[Difference]],"N/A")</f>
        <v>N/A</v>
      </c>
    </row>
    <row r="346" spans="2:7" x14ac:dyDescent="0.3">
      <c r="B346" s="12">
        <v>53844</v>
      </c>
      <c r="C346" s="13">
        <f t="shared" si="13"/>
        <v>53873</v>
      </c>
      <c r="D346" s="14">
        <f>'Income Tracker Data'!V344</f>
        <v>0</v>
      </c>
      <c r="E346" s="15">
        <f>'Expense Tracker Data'!V344</f>
        <v>0</v>
      </c>
      <c r="F346" s="15">
        <f t="shared" si="12"/>
        <v>0</v>
      </c>
      <c r="G346" s="15" t="str">
        <f>IF(AND(D346&gt;0,E346&gt;0),G345+Bottom_Line_Table[[#This Row],[Difference]],"N/A")</f>
        <v>N/A</v>
      </c>
    </row>
    <row r="347" spans="2:7" x14ac:dyDescent="0.3">
      <c r="B347" s="12">
        <v>53874</v>
      </c>
      <c r="C347" s="13">
        <f t="shared" si="13"/>
        <v>53904</v>
      </c>
      <c r="D347" s="14">
        <f>'Income Tracker Data'!V345</f>
        <v>0</v>
      </c>
      <c r="E347" s="15">
        <f>'Expense Tracker Data'!V345</f>
        <v>0</v>
      </c>
      <c r="F347" s="15">
        <f t="shared" si="12"/>
        <v>0</v>
      </c>
      <c r="G347" s="15" t="str">
        <f>IF(AND(D347&gt;0,E347&gt;0),G346+Bottom_Line_Table[[#This Row],[Difference]],"N/A")</f>
        <v>N/A</v>
      </c>
    </row>
    <row r="348" spans="2:7" x14ac:dyDescent="0.3">
      <c r="B348" s="12">
        <v>53905</v>
      </c>
      <c r="C348" s="13">
        <f t="shared" si="13"/>
        <v>53935</v>
      </c>
      <c r="D348" s="14">
        <f>'Income Tracker Data'!V346</f>
        <v>0</v>
      </c>
      <c r="E348" s="15">
        <f>'Expense Tracker Data'!V346</f>
        <v>0</v>
      </c>
      <c r="F348" s="15">
        <f t="shared" si="12"/>
        <v>0</v>
      </c>
      <c r="G348" s="15" t="str">
        <f>IF(AND(D348&gt;0,E348&gt;0),G347+Bottom_Line_Table[[#This Row],[Difference]],"N/A")</f>
        <v>N/A</v>
      </c>
    </row>
    <row r="349" spans="2:7" x14ac:dyDescent="0.3">
      <c r="B349" s="12">
        <v>53936</v>
      </c>
      <c r="C349" s="13">
        <f t="shared" si="13"/>
        <v>53965</v>
      </c>
      <c r="D349" s="14">
        <f>'Income Tracker Data'!V347</f>
        <v>0</v>
      </c>
      <c r="E349" s="15">
        <f>'Expense Tracker Data'!V347</f>
        <v>0</v>
      </c>
      <c r="F349" s="15">
        <f t="shared" si="12"/>
        <v>0</v>
      </c>
      <c r="G349" s="15" t="str">
        <f>IF(AND(D349&gt;0,E349&gt;0),G348+Bottom_Line_Table[[#This Row],[Difference]],"N/A")</f>
        <v>N/A</v>
      </c>
    </row>
    <row r="350" spans="2:7" x14ac:dyDescent="0.3">
      <c r="B350" s="12">
        <v>53966</v>
      </c>
      <c r="C350" s="13">
        <f t="shared" si="13"/>
        <v>53996</v>
      </c>
      <c r="D350" s="14">
        <f>'Income Tracker Data'!V348</f>
        <v>0</v>
      </c>
      <c r="E350" s="15">
        <f>'Expense Tracker Data'!V348</f>
        <v>0</v>
      </c>
      <c r="F350" s="15">
        <f t="shared" si="12"/>
        <v>0</v>
      </c>
      <c r="G350" s="15" t="str">
        <f>IF(AND(D350&gt;0,E350&gt;0),G349+Bottom_Line_Table[[#This Row],[Difference]],"N/A")</f>
        <v>N/A</v>
      </c>
    </row>
    <row r="351" spans="2:7" x14ac:dyDescent="0.3">
      <c r="B351" s="12">
        <v>53997</v>
      </c>
      <c r="C351" s="13">
        <f t="shared" si="13"/>
        <v>54026</v>
      </c>
      <c r="D351" s="14">
        <f>'Income Tracker Data'!V349</f>
        <v>0</v>
      </c>
      <c r="E351" s="15">
        <f>'Expense Tracker Data'!V349</f>
        <v>0</v>
      </c>
      <c r="F351" s="15">
        <f t="shared" si="12"/>
        <v>0</v>
      </c>
      <c r="G351" s="15" t="str">
        <f>IF(AND(D351&gt;0,E351&gt;0),G350+Bottom_Line_Table[[#This Row],[Difference]],"N/A")</f>
        <v>N/A</v>
      </c>
    </row>
    <row r="352" spans="2:7" x14ac:dyDescent="0.3">
      <c r="B352" s="12">
        <v>54027</v>
      </c>
      <c r="C352" s="13">
        <f t="shared" si="13"/>
        <v>54057</v>
      </c>
      <c r="D352" s="14">
        <f>'Income Tracker Data'!V350</f>
        <v>0</v>
      </c>
      <c r="E352" s="15">
        <f>'Expense Tracker Data'!V350</f>
        <v>0</v>
      </c>
      <c r="F352" s="15">
        <f t="shared" si="12"/>
        <v>0</v>
      </c>
      <c r="G352" s="15" t="str">
        <f>IF(AND(D352&gt;0,E352&gt;0),G351+Bottom_Line_Table[[#This Row],[Difference]],"N/A")</f>
        <v>N/A</v>
      </c>
    </row>
    <row r="353" spans="2:7" x14ac:dyDescent="0.3">
      <c r="B353" s="12">
        <v>54058</v>
      </c>
      <c r="C353" s="13">
        <f t="shared" si="13"/>
        <v>54088</v>
      </c>
      <c r="D353" s="14">
        <f>'Income Tracker Data'!V351</f>
        <v>0</v>
      </c>
      <c r="E353" s="15">
        <f>'Expense Tracker Data'!V351</f>
        <v>0</v>
      </c>
      <c r="F353" s="15">
        <f t="shared" si="12"/>
        <v>0</v>
      </c>
      <c r="G353" s="15" t="str">
        <f>IF(AND(D353&gt;0,E353&gt;0),G352+Bottom_Line_Table[[#This Row],[Difference]],"N/A")</f>
        <v>N/A</v>
      </c>
    </row>
    <row r="354" spans="2:7" x14ac:dyDescent="0.3">
      <c r="B354" s="12">
        <v>54089</v>
      </c>
      <c r="C354" s="13">
        <f t="shared" si="13"/>
        <v>54117</v>
      </c>
      <c r="D354" s="14">
        <f>'Income Tracker Data'!V352</f>
        <v>0</v>
      </c>
      <c r="E354" s="15">
        <f>'Expense Tracker Data'!V352</f>
        <v>0</v>
      </c>
      <c r="F354" s="15">
        <f t="shared" si="12"/>
        <v>0</v>
      </c>
      <c r="G354" s="15" t="str">
        <f>IF(AND(D354&gt;0,E354&gt;0),G353+Bottom_Line_Table[[#This Row],[Difference]],"N/A")</f>
        <v>N/A</v>
      </c>
    </row>
    <row r="355" spans="2:7" x14ac:dyDescent="0.3">
      <c r="B355" s="12">
        <v>54118</v>
      </c>
      <c r="C355" s="13">
        <f t="shared" si="13"/>
        <v>54148</v>
      </c>
      <c r="D355" s="14">
        <f>'Income Tracker Data'!V353</f>
        <v>0</v>
      </c>
      <c r="E355" s="15">
        <f>'Expense Tracker Data'!V353</f>
        <v>0</v>
      </c>
      <c r="F355" s="15">
        <f t="shared" si="12"/>
        <v>0</v>
      </c>
      <c r="G355" s="15" t="str">
        <f>IF(AND(D355&gt;0,E355&gt;0),G354+Bottom_Line_Table[[#This Row],[Difference]],"N/A")</f>
        <v>N/A</v>
      </c>
    </row>
    <row r="356" spans="2:7" x14ac:dyDescent="0.3">
      <c r="B356" s="12">
        <v>54149</v>
      </c>
      <c r="C356" s="13">
        <f t="shared" si="13"/>
        <v>54178</v>
      </c>
      <c r="D356" s="14">
        <f>'Income Tracker Data'!V354</f>
        <v>0</v>
      </c>
      <c r="E356" s="15">
        <f>'Expense Tracker Data'!V354</f>
        <v>0</v>
      </c>
      <c r="F356" s="15">
        <f t="shared" si="12"/>
        <v>0</v>
      </c>
      <c r="G356" s="15" t="str">
        <f>IF(AND(D356&gt;0,E356&gt;0),G355+Bottom_Line_Table[[#This Row],[Difference]],"N/A")</f>
        <v>N/A</v>
      </c>
    </row>
    <row r="357" spans="2:7" x14ac:dyDescent="0.3">
      <c r="B357" s="12">
        <v>54179</v>
      </c>
      <c r="C357" s="13">
        <f t="shared" si="13"/>
        <v>54209</v>
      </c>
      <c r="D357" s="14">
        <f>'Income Tracker Data'!V355</f>
        <v>0</v>
      </c>
      <c r="E357" s="15">
        <f>'Expense Tracker Data'!V355</f>
        <v>0</v>
      </c>
      <c r="F357" s="15">
        <f t="shared" si="12"/>
        <v>0</v>
      </c>
      <c r="G357" s="15" t="str">
        <f>IF(AND(D357&gt;0,E357&gt;0),G356+Bottom_Line_Table[[#This Row],[Difference]],"N/A")</f>
        <v>N/A</v>
      </c>
    </row>
    <row r="358" spans="2:7" x14ac:dyDescent="0.3">
      <c r="B358" s="12">
        <v>54210</v>
      </c>
      <c r="C358" s="13">
        <f t="shared" si="13"/>
        <v>54239</v>
      </c>
      <c r="D358" s="14">
        <f>'Income Tracker Data'!V356</f>
        <v>0</v>
      </c>
      <c r="E358" s="15">
        <f>'Expense Tracker Data'!V356</f>
        <v>0</v>
      </c>
      <c r="F358" s="15">
        <f t="shared" si="12"/>
        <v>0</v>
      </c>
      <c r="G358" s="15" t="str">
        <f>IF(AND(D358&gt;0,E358&gt;0),G357+Bottom_Line_Table[[#This Row],[Difference]],"N/A")</f>
        <v>N/A</v>
      </c>
    </row>
    <row r="359" spans="2:7" x14ac:dyDescent="0.3">
      <c r="B359" s="12">
        <v>54240</v>
      </c>
      <c r="C359" s="13">
        <f t="shared" si="13"/>
        <v>54270</v>
      </c>
      <c r="D359" s="14">
        <f>'Income Tracker Data'!V357</f>
        <v>0</v>
      </c>
      <c r="E359" s="15">
        <f>'Expense Tracker Data'!V357</f>
        <v>0</v>
      </c>
      <c r="F359" s="15">
        <f t="shared" si="12"/>
        <v>0</v>
      </c>
      <c r="G359" s="15" t="str">
        <f>IF(AND(D359&gt;0,E359&gt;0),G358+Bottom_Line_Table[[#This Row],[Difference]],"N/A")</f>
        <v>N/A</v>
      </c>
    </row>
    <row r="360" spans="2:7" x14ac:dyDescent="0.3">
      <c r="B360" s="12">
        <v>54271</v>
      </c>
      <c r="C360" s="13">
        <f t="shared" si="13"/>
        <v>54301</v>
      </c>
      <c r="D360" s="14">
        <f>'Income Tracker Data'!V358</f>
        <v>0</v>
      </c>
      <c r="E360" s="15">
        <f>'Expense Tracker Data'!V358</f>
        <v>0</v>
      </c>
      <c r="F360" s="15">
        <f t="shared" si="12"/>
        <v>0</v>
      </c>
      <c r="G360" s="15" t="str">
        <f>IF(AND(D360&gt;0,E360&gt;0),G359+Bottom_Line_Table[[#This Row],[Difference]],"N/A")</f>
        <v>N/A</v>
      </c>
    </row>
    <row r="361" spans="2:7" x14ac:dyDescent="0.3">
      <c r="B361" s="12">
        <v>54302</v>
      </c>
      <c r="C361" s="13">
        <f t="shared" si="13"/>
        <v>54331</v>
      </c>
      <c r="D361" s="14">
        <f>'Income Tracker Data'!V359</f>
        <v>0</v>
      </c>
      <c r="E361" s="15">
        <f>'Expense Tracker Data'!V359</f>
        <v>0</v>
      </c>
      <c r="F361" s="15">
        <f t="shared" si="12"/>
        <v>0</v>
      </c>
      <c r="G361" s="15" t="str">
        <f>IF(AND(D361&gt;0,E361&gt;0),G360+Bottom_Line_Table[[#This Row],[Difference]],"N/A")</f>
        <v>N/A</v>
      </c>
    </row>
    <row r="362" spans="2:7" x14ac:dyDescent="0.3">
      <c r="B362" s="12">
        <v>54332</v>
      </c>
      <c r="C362" s="13">
        <f t="shared" si="13"/>
        <v>54362</v>
      </c>
      <c r="D362" s="14">
        <f>'Income Tracker Data'!V360</f>
        <v>0</v>
      </c>
      <c r="E362" s="15">
        <f>'Expense Tracker Data'!V360</f>
        <v>0</v>
      </c>
      <c r="F362" s="15">
        <f t="shared" si="12"/>
        <v>0</v>
      </c>
      <c r="G362" s="15" t="str">
        <f>IF(AND(D362&gt;0,E362&gt;0),G361+Bottom_Line_Table[[#This Row],[Difference]],"N/A")</f>
        <v>N/A</v>
      </c>
    </row>
    <row r="363" spans="2:7" x14ac:dyDescent="0.3">
      <c r="B363" s="12">
        <v>54363</v>
      </c>
      <c r="C363" s="13">
        <f t="shared" si="13"/>
        <v>54392</v>
      </c>
      <c r="D363" s="14">
        <f>'Income Tracker Data'!V361</f>
        <v>0</v>
      </c>
      <c r="E363" s="15">
        <f>'Expense Tracker Data'!V361</f>
        <v>0</v>
      </c>
      <c r="F363" s="15">
        <f t="shared" si="12"/>
        <v>0</v>
      </c>
      <c r="G363" s="15" t="str">
        <f>IF(AND(D363&gt;0,E363&gt;0),G362+Bottom_Line_Table[[#This Row],[Difference]],"N/A")</f>
        <v>N/A</v>
      </c>
    </row>
    <row r="364" spans="2:7" x14ac:dyDescent="0.3">
      <c r="B364" s="12">
        <v>54393</v>
      </c>
      <c r="C364" s="13">
        <f t="shared" si="13"/>
        <v>54423</v>
      </c>
      <c r="D364" s="14">
        <f>'Income Tracker Data'!V362</f>
        <v>0</v>
      </c>
      <c r="E364" s="15">
        <f>'Expense Tracker Data'!V362</f>
        <v>0</v>
      </c>
      <c r="F364" s="15">
        <f t="shared" si="12"/>
        <v>0</v>
      </c>
      <c r="G364" s="15" t="str">
        <f>IF(AND(D364&gt;0,E364&gt;0),G363+Bottom_Line_Table[[#This Row],[Difference]],"N/A")</f>
        <v>N/A</v>
      </c>
    </row>
    <row r="365" spans="2:7" x14ac:dyDescent="0.3">
      <c r="B365" s="12">
        <v>54424</v>
      </c>
      <c r="C365" s="13">
        <f t="shared" si="13"/>
        <v>54454</v>
      </c>
      <c r="D365" s="14">
        <f>'Income Tracker Data'!V363</f>
        <v>0</v>
      </c>
      <c r="E365" s="15">
        <f>'Expense Tracker Data'!V363</f>
        <v>0</v>
      </c>
      <c r="F365" s="15">
        <f t="shared" si="12"/>
        <v>0</v>
      </c>
      <c r="G365" s="15" t="str">
        <f>IF(AND(D365&gt;0,E365&gt;0),G364+Bottom_Line_Table[[#This Row],[Difference]],"N/A")</f>
        <v>N/A</v>
      </c>
    </row>
    <row r="366" spans="2:7" x14ac:dyDescent="0.3">
      <c r="B366" s="12">
        <v>54455</v>
      </c>
      <c r="C366" s="13">
        <f t="shared" si="13"/>
        <v>54482</v>
      </c>
      <c r="D366" s="14">
        <f>'Income Tracker Data'!V364</f>
        <v>0</v>
      </c>
      <c r="E366" s="15">
        <f>'Expense Tracker Data'!V364</f>
        <v>0</v>
      </c>
      <c r="F366" s="15">
        <f t="shared" si="12"/>
        <v>0</v>
      </c>
      <c r="G366" s="15" t="str">
        <f>IF(AND(D366&gt;0,E366&gt;0),G365+Bottom_Line_Table[[#This Row],[Difference]],"N/A")</f>
        <v>N/A</v>
      </c>
    </row>
    <row r="367" spans="2:7" x14ac:dyDescent="0.3">
      <c r="B367" s="12">
        <v>54483</v>
      </c>
      <c r="C367" s="13">
        <f t="shared" si="13"/>
        <v>54513</v>
      </c>
      <c r="D367" s="14">
        <f>'Income Tracker Data'!V365</f>
        <v>0</v>
      </c>
      <c r="E367" s="15">
        <f>'Expense Tracker Data'!V365</f>
        <v>0</v>
      </c>
      <c r="F367" s="15">
        <f t="shared" si="12"/>
        <v>0</v>
      </c>
      <c r="G367" s="15" t="str">
        <f>IF(AND(D367&gt;0,E367&gt;0),G366+Bottom_Line_Table[[#This Row],[Difference]],"N/A")</f>
        <v>N/A</v>
      </c>
    </row>
    <row r="368" spans="2:7" x14ac:dyDescent="0.3">
      <c r="B368" s="12">
        <v>54514</v>
      </c>
      <c r="C368" s="13">
        <f t="shared" si="13"/>
        <v>54543</v>
      </c>
      <c r="D368" s="14">
        <f>'Income Tracker Data'!V366</f>
        <v>0</v>
      </c>
      <c r="E368" s="15">
        <f>'Expense Tracker Data'!V366</f>
        <v>0</v>
      </c>
      <c r="F368" s="15">
        <f t="shared" si="12"/>
        <v>0</v>
      </c>
      <c r="G368" s="15" t="str">
        <f>IF(AND(D368&gt;0,E368&gt;0),G367+Bottom_Line_Table[[#This Row],[Difference]],"N/A")</f>
        <v>N/A</v>
      </c>
    </row>
    <row r="369" spans="2:7" x14ac:dyDescent="0.3">
      <c r="B369" s="12">
        <v>54544</v>
      </c>
      <c r="C369" s="13">
        <f t="shared" si="13"/>
        <v>54574</v>
      </c>
      <c r="D369" s="14">
        <f>'Income Tracker Data'!V367</f>
        <v>0</v>
      </c>
      <c r="E369" s="15">
        <f>'Expense Tracker Data'!V367</f>
        <v>0</v>
      </c>
      <c r="F369" s="15">
        <f t="shared" si="12"/>
        <v>0</v>
      </c>
      <c r="G369" s="15" t="str">
        <f>IF(AND(D369&gt;0,E369&gt;0),G368+Bottom_Line_Table[[#This Row],[Difference]],"N/A")</f>
        <v>N/A</v>
      </c>
    </row>
    <row r="370" spans="2:7" x14ac:dyDescent="0.3">
      <c r="B370" s="12">
        <v>54575</v>
      </c>
      <c r="C370" s="13">
        <f t="shared" si="13"/>
        <v>54604</v>
      </c>
      <c r="D370" s="14">
        <f>'Income Tracker Data'!V368</f>
        <v>0</v>
      </c>
      <c r="E370" s="15">
        <f>'Expense Tracker Data'!V368</f>
        <v>0</v>
      </c>
      <c r="F370" s="15">
        <f t="shared" si="12"/>
        <v>0</v>
      </c>
      <c r="G370" s="15" t="str">
        <f>IF(AND(D370&gt;0,E370&gt;0),G369+Bottom_Line_Table[[#This Row],[Difference]],"N/A")</f>
        <v>N/A</v>
      </c>
    </row>
    <row r="371" spans="2:7" x14ac:dyDescent="0.3">
      <c r="B371" s="12">
        <v>54605</v>
      </c>
      <c r="C371" s="13">
        <f t="shared" si="13"/>
        <v>54635</v>
      </c>
      <c r="D371" s="14">
        <f>'Income Tracker Data'!V369</f>
        <v>0</v>
      </c>
      <c r="E371" s="15">
        <f>'Expense Tracker Data'!V369</f>
        <v>0</v>
      </c>
      <c r="F371" s="15">
        <f t="shared" si="12"/>
        <v>0</v>
      </c>
      <c r="G371" s="15" t="str">
        <f>IF(AND(D371&gt;0,E371&gt;0),G370+Bottom_Line_Table[[#This Row],[Difference]],"N/A")</f>
        <v>N/A</v>
      </c>
    </row>
    <row r="372" spans="2:7" x14ac:dyDescent="0.3">
      <c r="B372" s="12">
        <v>54636</v>
      </c>
      <c r="C372" s="13">
        <f t="shared" si="13"/>
        <v>54666</v>
      </c>
      <c r="D372" s="14">
        <f>'Income Tracker Data'!V370</f>
        <v>0</v>
      </c>
      <c r="E372" s="15">
        <f>'Expense Tracker Data'!V370</f>
        <v>0</v>
      </c>
      <c r="F372" s="15">
        <f t="shared" si="12"/>
        <v>0</v>
      </c>
      <c r="G372" s="15" t="str">
        <f>IF(AND(D372&gt;0,E372&gt;0),G371+Bottom_Line_Table[[#This Row],[Difference]],"N/A")</f>
        <v>N/A</v>
      </c>
    </row>
    <row r="373" spans="2:7" x14ac:dyDescent="0.3">
      <c r="B373" s="12">
        <v>54667</v>
      </c>
      <c r="C373" s="13">
        <f t="shared" si="13"/>
        <v>54696</v>
      </c>
      <c r="D373" s="14">
        <f>'Income Tracker Data'!V371</f>
        <v>0</v>
      </c>
      <c r="E373" s="15">
        <f>'Expense Tracker Data'!V371</f>
        <v>0</v>
      </c>
      <c r="F373" s="15">
        <f t="shared" si="12"/>
        <v>0</v>
      </c>
      <c r="G373" s="15" t="str">
        <f>IF(AND(D373&gt;0,E373&gt;0),G372+Bottom_Line_Table[[#This Row],[Difference]],"N/A")</f>
        <v>N/A</v>
      </c>
    </row>
    <row r="374" spans="2:7" x14ac:dyDescent="0.3">
      <c r="B374" s="12">
        <v>54697</v>
      </c>
      <c r="C374" s="13">
        <f t="shared" si="13"/>
        <v>54727</v>
      </c>
      <c r="D374" s="14">
        <f>'Income Tracker Data'!V372</f>
        <v>0</v>
      </c>
      <c r="E374" s="15">
        <f>'Expense Tracker Data'!V372</f>
        <v>0</v>
      </c>
      <c r="F374" s="15">
        <f t="shared" si="12"/>
        <v>0</v>
      </c>
      <c r="G374" s="15" t="str">
        <f>IF(AND(D374&gt;0,E374&gt;0),G373+Bottom_Line_Table[[#This Row],[Difference]],"N/A")</f>
        <v>N/A</v>
      </c>
    </row>
    <row r="375" spans="2:7" x14ac:dyDescent="0.3">
      <c r="B375" s="12">
        <v>54728</v>
      </c>
      <c r="C375" s="13">
        <f t="shared" si="13"/>
        <v>54757</v>
      </c>
      <c r="D375" s="14">
        <f>'Income Tracker Data'!V373</f>
        <v>0</v>
      </c>
      <c r="E375" s="15">
        <f>'Expense Tracker Data'!V373</f>
        <v>0</v>
      </c>
      <c r="F375" s="15">
        <f t="shared" si="12"/>
        <v>0</v>
      </c>
      <c r="G375" s="15" t="str">
        <f>IF(AND(D375&gt;0,E375&gt;0),G374+Bottom_Line_Table[[#This Row],[Difference]],"N/A")</f>
        <v>N/A</v>
      </c>
    </row>
    <row r="376" spans="2:7" x14ac:dyDescent="0.3">
      <c r="B376" s="12">
        <v>54758</v>
      </c>
      <c r="C376" s="13">
        <f t="shared" si="13"/>
        <v>54788</v>
      </c>
      <c r="D376" s="14">
        <f>'Income Tracker Data'!V374</f>
        <v>0</v>
      </c>
      <c r="E376" s="15">
        <f>'Expense Tracker Data'!V374</f>
        <v>0</v>
      </c>
      <c r="F376" s="15">
        <f t="shared" si="12"/>
        <v>0</v>
      </c>
      <c r="G376" s="15" t="str">
        <f>IF(AND(D376&gt;0,E376&gt;0),G375+Bottom_Line_Table[[#This Row],[Difference]],"N/A")</f>
        <v>N/A</v>
      </c>
    </row>
    <row r="377" spans="2:7" x14ac:dyDescent="0.3">
      <c r="B377" s="12">
        <v>54789</v>
      </c>
      <c r="C377" s="13">
        <f t="shared" si="13"/>
        <v>54819</v>
      </c>
      <c r="D377" s="14">
        <f>'Income Tracker Data'!V375</f>
        <v>0</v>
      </c>
      <c r="E377" s="15">
        <f>'Expense Tracker Data'!V375</f>
        <v>0</v>
      </c>
      <c r="F377" s="15">
        <f t="shared" si="12"/>
        <v>0</v>
      </c>
      <c r="G377" s="15" t="str">
        <f>IF(AND(D377&gt;0,E377&gt;0),G376+Bottom_Line_Table[[#This Row],[Difference]],"N/A")</f>
        <v>N/A</v>
      </c>
    </row>
    <row r="378" spans="2:7" x14ac:dyDescent="0.3">
      <c r="B378" s="12">
        <v>54820</v>
      </c>
      <c r="C378" s="13">
        <f t="shared" si="13"/>
        <v>54847</v>
      </c>
      <c r="D378" s="14">
        <f>'Income Tracker Data'!V376</f>
        <v>0</v>
      </c>
      <c r="E378" s="15">
        <f>'Expense Tracker Data'!V376</f>
        <v>0</v>
      </c>
      <c r="F378" s="15">
        <f t="shared" si="12"/>
        <v>0</v>
      </c>
      <c r="G378" s="15" t="str">
        <f>IF(AND(D378&gt;0,E378&gt;0),G377+Bottom_Line_Table[[#This Row],[Difference]],"N/A")</f>
        <v>N/A</v>
      </c>
    </row>
    <row r="379" spans="2:7" x14ac:dyDescent="0.3">
      <c r="B379" s="12">
        <v>54848</v>
      </c>
      <c r="C379" s="13">
        <f t="shared" si="13"/>
        <v>54878</v>
      </c>
      <c r="D379" s="14">
        <f>'Income Tracker Data'!V377</f>
        <v>0</v>
      </c>
      <c r="E379" s="15">
        <f>'Expense Tracker Data'!V377</f>
        <v>0</v>
      </c>
      <c r="F379" s="15">
        <f t="shared" si="12"/>
        <v>0</v>
      </c>
      <c r="G379" s="15" t="str">
        <f>IF(AND(D379&gt;0,E379&gt;0),G378+Bottom_Line_Table[[#This Row],[Difference]],"N/A")</f>
        <v>N/A</v>
      </c>
    </row>
    <row r="380" spans="2:7" x14ac:dyDescent="0.3">
      <c r="B380" s="12">
        <v>54879</v>
      </c>
      <c r="C380" s="13">
        <f t="shared" si="13"/>
        <v>54908</v>
      </c>
      <c r="D380" s="14">
        <f>'Income Tracker Data'!V378</f>
        <v>0</v>
      </c>
      <c r="E380" s="15">
        <f>'Expense Tracker Data'!V378</f>
        <v>0</v>
      </c>
      <c r="F380" s="15">
        <f t="shared" si="12"/>
        <v>0</v>
      </c>
      <c r="G380" s="15" t="str">
        <f>IF(AND(D380&gt;0,E380&gt;0),G379+Bottom_Line_Table[[#This Row],[Difference]],"N/A")</f>
        <v>N/A</v>
      </c>
    </row>
    <row r="381" spans="2:7" x14ac:dyDescent="0.3">
      <c r="B381" s="12">
        <v>54909</v>
      </c>
      <c r="C381" s="13">
        <f t="shared" si="13"/>
        <v>54939</v>
      </c>
      <c r="D381" s="14">
        <f>'Income Tracker Data'!V379</f>
        <v>0</v>
      </c>
      <c r="E381" s="15">
        <f>'Expense Tracker Data'!V379</f>
        <v>0</v>
      </c>
      <c r="F381" s="15">
        <f t="shared" si="12"/>
        <v>0</v>
      </c>
      <c r="G381" s="15" t="str">
        <f>IF(AND(D381&gt;0,E381&gt;0),G380+Bottom_Line_Table[[#This Row],[Difference]],"N/A")</f>
        <v>N/A</v>
      </c>
    </row>
    <row r="382" spans="2:7" x14ac:dyDescent="0.3">
      <c r="B382" s="12">
        <v>54940</v>
      </c>
      <c r="C382" s="13">
        <f t="shared" si="13"/>
        <v>54969</v>
      </c>
      <c r="D382" s="14">
        <f>'Income Tracker Data'!V380</f>
        <v>0</v>
      </c>
      <c r="E382" s="15">
        <f>'Expense Tracker Data'!V380</f>
        <v>0</v>
      </c>
      <c r="F382" s="15">
        <f t="shared" si="12"/>
        <v>0</v>
      </c>
      <c r="G382" s="15" t="str">
        <f>IF(AND(D382&gt;0,E382&gt;0),G381+Bottom_Line_Table[[#This Row],[Difference]],"N/A")</f>
        <v>N/A</v>
      </c>
    </row>
    <row r="383" spans="2:7" x14ac:dyDescent="0.3">
      <c r="B383" s="12">
        <v>54970</v>
      </c>
      <c r="C383" s="13">
        <f t="shared" si="13"/>
        <v>55000</v>
      </c>
      <c r="D383" s="14">
        <f>'Income Tracker Data'!V381</f>
        <v>0</v>
      </c>
      <c r="E383" s="15">
        <f>'Expense Tracker Data'!V381</f>
        <v>0</v>
      </c>
      <c r="F383" s="15">
        <f t="shared" si="12"/>
        <v>0</v>
      </c>
      <c r="G383" s="15" t="str">
        <f>IF(AND(D383&gt;0,E383&gt;0),G382+Bottom_Line_Table[[#This Row],[Difference]],"N/A")</f>
        <v>N/A</v>
      </c>
    </row>
    <row r="384" spans="2:7" x14ac:dyDescent="0.3">
      <c r="B384" s="12">
        <v>55001</v>
      </c>
      <c r="C384" s="13">
        <f t="shared" si="13"/>
        <v>55031</v>
      </c>
      <c r="D384" s="14">
        <f>'Income Tracker Data'!V382</f>
        <v>0</v>
      </c>
      <c r="E384" s="15">
        <f>'Expense Tracker Data'!V382</f>
        <v>0</v>
      </c>
      <c r="F384" s="15">
        <f t="shared" si="12"/>
        <v>0</v>
      </c>
      <c r="G384" s="15" t="str">
        <f>IF(AND(D384&gt;0,E384&gt;0),G383+Bottom_Line_Table[[#This Row],[Difference]],"N/A")</f>
        <v>N/A</v>
      </c>
    </row>
    <row r="385" spans="2:7" x14ac:dyDescent="0.3">
      <c r="B385" s="12">
        <v>55032</v>
      </c>
      <c r="C385" s="13">
        <f t="shared" si="13"/>
        <v>55061</v>
      </c>
      <c r="D385" s="14">
        <f>'Income Tracker Data'!V383</f>
        <v>0</v>
      </c>
      <c r="E385" s="15">
        <f>'Expense Tracker Data'!V383</f>
        <v>0</v>
      </c>
      <c r="F385" s="15">
        <f t="shared" si="12"/>
        <v>0</v>
      </c>
      <c r="G385" s="15" t="str">
        <f>IF(AND(D385&gt;0,E385&gt;0),G384+Bottom_Line_Table[[#This Row],[Difference]],"N/A")</f>
        <v>N/A</v>
      </c>
    </row>
    <row r="386" spans="2:7" x14ac:dyDescent="0.3">
      <c r="B386" s="12">
        <v>55062</v>
      </c>
      <c r="C386" s="13">
        <f t="shared" si="13"/>
        <v>55092</v>
      </c>
      <c r="D386" s="14">
        <f>'Income Tracker Data'!V384</f>
        <v>0</v>
      </c>
      <c r="E386" s="15">
        <f>'Expense Tracker Data'!V384</f>
        <v>0</v>
      </c>
      <c r="F386" s="15">
        <f t="shared" si="12"/>
        <v>0</v>
      </c>
      <c r="G386" s="15" t="str">
        <f>IF(AND(D386&gt;0,E386&gt;0),G385+Bottom_Line_Table[[#This Row],[Difference]],"N/A")</f>
        <v>N/A</v>
      </c>
    </row>
    <row r="387" spans="2:7" x14ac:dyDescent="0.3">
      <c r="B387" s="12">
        <v>55093</v>
      </c>
      <c r="C387" s="13">
        <f t="shared" si="13"/>
        <v>55122</v>
      </c>
      <c r="D387" s="14">
        <f>'Income Tracker Data'!V385</f>
        <v>0</v>
      </c>
      <c r="E387" s="15">
        <f>'Expense Tracker Data'!V385</f>
        <v>0</v>
      </c>
      <c r="F387" s="15">
        <f t="shared" si="12"/>
        <v>0</v>
      </c>
      <c r="G387" s="15" t="str">
        <f>IF(AND(D387&gt;0,E387&gt;0),G386+Bottom_Line_Table[[#This Row],[Difference]],"N/A")</f>
        <v>N/A</v>
      </c>
    </row>
    <row r="388" spans="2:7" x14ac:dyDescent="0.3">
      <c r="B388" s="12">
        <v>55123</v>
      </c>
      <c r="C388" s="13">
        <f t="shared" si="13"/>
        <v>55153</v>
      </c>
      <c r="D388" s="14">
        <f>'Income Tracker Data'!V386</f>
        <v>0</v>
      </c>
      <c r="E388" s="15">
        <f>'Expense Tracker Data'!V386</f>
        <v>0</v>
      </c>
      <c r="F388" s="15">
        <f t="shared" si="12"/>
        <v>0</v>
      </c>
      <c r="G388" s="15" t="str">
        <f>IF(AND(D388&gt;0,E388&gt;0),G387+Bottom_Line_Table[[#This Row],[Difference]],"N/A")</f>
        <v>N/A</v>
      </c>
    </row>
    <row r="389" spans="2:7" x14ac:dyDescent="0.3">
      <c r="B389" s="12">
        <v>55154</v>
      </c>
      <c r="C389" s="13">
        <f t="shared" si="13"/>
        <v>55184</v>
      </c>
      <c r="D389" s="14">
        <f>'Income Tracker Data'!V387</f>
        <v>0</v>
      </c>
      <c r="E389" s="15">
        <f>'Expense Tracker Data'!V387</f>
        <v>0</v>
      </c>
      <c r="F389" s="15">
        <f t="shared" si="12"/>
        <v>0</v>
      </c>
      <c r="G389" s="15" t="str">
        <f>IF(AND(D389&gt;0,E389&gt;0),G388+Bottom_Line_Table[[#This Row],[Difference]],"N/A")</f>
        <v>N/A</v>
      </c>
    </row>
    <row r="390" spans="2:7" x14ac:dyDescent="0.3">
      <c r="B390" s="12">
        <v>55185</v>
      </c>
      <c r="C390" s="13">
        <f t="shared" si="13"/>
        <v>55212</v>
      </c>
      <c r="D390" s="14">
        <f>'Income Tracker Data'!V388</f>
        <v>0</v>
      </c>
      <c r="E390" s="15">
        <f>'Expense Tracker Data'!V388</f>
        <v>0</v>
      </c>
      <c r="F390" s="15">
        <f t="shared" ref="F390:F453" si="14">D390-E390</f>
        <v>0</v>
      </c>
      <c r="G390" s="15" t="str">
        <f>IF(AND(D390&gt;0,E390&gt;0),G389+Bottom_Line_Table[[#This Row],[Difference]],"N/A")</f>
        <v>N/A</v>
      </c>
    </row>
    <row r="391" spans="2:7" x14ac:dyDescent="0.3">
      <c r="B391" s="12">
        <v>55213</v>
      </c>
      <c r="C391" s="13">
        <f t="shared" si="13"/>
        <v>55243</v>
      </c>
      <c r="D391" s="14">
        <f>'Income Tracker Data'!V389</f>
        <v>0</v>
      </c>
      <c r="E391" s="15">
        <f>'Expense Tracker Data'!V389</f>
        <v>0</v>
      </c>
      <c r="F391" s="15">
        <f t="shared" si="14"/>
        <v>0</v>
      </c>
      <c r="G391" s="15" t="str">
        <f>IF(AND(D391&gt;0,E391&gt;0),G390+Bottom_Line_Table[[#This Row],[Difference]],"N/A")</f>
        <v>N/A</v>
      </c>
    </row>
    <row r="392" spans="2:7" x14ac:dyDescent="0.3">
      <c r="B392" s="12">
        <v>55244</v>
      </c>
      <c r="C392" s="13">
        <f t="shared" si="13"/>
        <v>55273</v>
      </c>
      <c r="D392" s="14">
        <f>'Income Tracker Data'!V390</f>
        <v>0</v>
      </c>
      <c r="E392" s="15">
        <f>'Expense Tracker Data'!V390</f>
        <v>0</v>
      </c>
      <c r="F392" s="15">
        <f t="shared" si="14"/>
        <v>0</v>
      </c>
      <c r="G392" s="15" t="str">
        <f>IF(AND(D392&gt;0,E392&gt;0),G391+Bottom_Line_Table[[#This Row],[Difference]],"N/A")</f>
        <v>N/A</v>
      </c>
    </row>
    <row r="393" spans="2:7" x14ac:dyDescent="0.3">
      <c r="B393" s="12">
        <v>55274</v>
      </c>
      <c r="C393" s="13">
        <f t="shared" si="13"/>
        <v>55304</v>
      </c>
      <c r="D393" s="14">
        <f>'Income Tracker Data'!V391</f>
        <v>0</v>
      </c>
      <c r="E393" s="15">
        <f>'Expense Tracker Data'!V391</f>
        <v>0</v>
      </c>
      <c r="F393" s="15">
        <f t="shared" si="14"/>
        <v>0</v>
      </c>
      <c r="G393" s="15" t="str">
        <f>IF(AND(D393&gt;0,E393&gt;0),G392+Bottom_Line_Table[[#This Row],[Difference]],"N/A")</f>
        <v>N/A</v>
      </c>
    </row>
    <row r="394" spans="2:7" x14ac:dyDescent="0.3">
      <c r="B394" s="12">
        <v>55305</v>
      </c>
      <c r="C394" s="13">
        <f t="shared" si="13"/>
        <v>55334</v>
      </c>
      <c r="D394" s="14">
        <f>'Income Tracker Data'!V392</f>
        <v>0</v>
      </c>
      <c r="E394" s="15">
        <f>'Expense Tracker Data'!V392</f>
        <v>0</v>
      </c>
      <c r="F394" s="15">
        <f t="shared" si="14"/>
        <v>0</v>
      </c>
      <c r="G394" s="15" t="str">
        <f>IF(AND(D394&gt;0,E394&gt;0),G393+Bottom_Line_Table[[#This Row],[Difference]],"N/A")</f>
        <v>N/A</v>
      </c>
    </row>
    <row r="395" spans="2:7" x14ac:dyDescent="0.3">
      <c r="B395" s="12">
        <v>55335</v>
      </c>
      <c r="C395" s="13">
        <f t="shared" ref="C395:C458" si="15">EOMONTH(B395,0)</f>
        <v>55365</v>
      </c>
      <c r="D395" s="14">
        <f>'Income Tracker Data'!V393</f>
        <v>0</v>
      </c>
      <c r="E395" s="15">
        <f>'Expense Tracker Data'!V393</f>
        <v>0</v>
      </c>
      <c r="F395" s="15">
        <f t="shared" si="14"/>
        <v>0</v>
      </c>
      <c r="G395" s="15" t="str">
        <f>IF(AND(D395&gt;0,E395&gt;0),G394+Bottom_Line_Table[[#This Row],[Difference]],"N/A")</f>
        <v>N/A</v>
      </c>
    </row>
    <row r="396" spans="2:7" x14ac:dyDescent="0.3">
      <c r="B396" s="12">
        <v>55366</v>
      </c>
      <c r="C396" s="13">
        <f t="shared" si="15"/>
        <v>55396</v>
      </c>
      <c r="D396" s="14">
        <f>'Income Tracker Data'!V394</f>
        <v>0</v>
      </c>
      <c r="E396" s="15">
        <f>'Expense Tracker Data'!V394</f>
        <v>0</v>
      </c>
      <c r="F396" s="15">
        <f t="shared" si="14"/>
        <v>0</v>
      </c>
      <c r="G396" s="15" t="str">
        <f>IF(AND(D396&gt;0,E396&gt;0),G395+Bottom_Line_Table[[#This Row],[Difference]],"N/A")</f>
        <v>N/A</v>
      </c>
    </row>
    <row r="397" spans="2:7" x14ac:dyDescent="0.3">
      <c r="B397" s="12">
        <v>55397</v>
      </c>
      <c r="C397" s="13">
        <f t="shared" si="15"/>
        <v>55426</v>
      </c>
      <c r="D397" s="14">
        <f>'Income Tracker Data'!V395</f>
        <v>0</v>
      </c>
      <c r="E397" s="15">
        <f>'Expense Tracker Data'!V395</f>
        <v>0</v>
      </c>
      <c r="F397" s="15">
        <f t="shared" si="14"/>
        <v>0</v>
      </c>
      <c r="G397" s="15" t="str">
        <f>IF(AND(D397&gt;0,E397&gt;0),G396+Bottom_Line_Table[[#This Row],[Difference]],"N/A")</f>
        <v>N/A</v>
      </c>
    </row>
    <row r="398" spans="2:7" x14ac:dyDescent="0.3">
      <c r="B398" s="12">
        <v>55427</v>
      </c>
      <c r="C398" s="13">
        <f t="shared" si="15"/>
        <v>55457</v>
      </c>
      <c r="D398" s="14">
        <f>'Income Tracker Data'!V396</f>
        <v>0</v>
      </c>
      <c r="E398" s="15">
        <f>'Expense Tracker Data'!V396</f>
        <v>0</v>
      </c>
      <c r="F398" s="15">
        <f t="shared" si="14"/>
        <v>0</v>
      </c>
      <c r="G398" s="15" t="str">
        <f>IF(AND(D398&gt;0,E398&gt;0),G397+Bottom_Line_Table[[#This Row],[Difference]],"N/A")</f>
        <v>N/A</v>
      </c>
    </row>
    <row r="399" spans="2:7" x14ac:dyDescent="0.3">
      <c r="B399" s="12">
        <v>55458</v>
      </c>
      <c r="C399" s="13">
        <f t="shared" si="15"/>
        <v>55487</v>
      </c>
      <c r="D399" s="14">
        <f>'Income Tracker Data'!V397</f>
        <v>0</v>
      </c>
      <c r="E399" s="15">
        <f>'Expense Tracker Data'!V397</f>
        <v>0</v>
      </c>
      <c r="F399" s="15">
        <f t="shared" si="14"/>
        <v>0</v>
      </c>
      <c r="G399" s="15" t="str">
        <f>IF(AND(D399&gt;0,E399&gt;0),G398+Bottom_Line_Table[[#This Row],[Difference]],"N/A")</f>
        <v>N/A</v>
      </c>
    </row>
    <row r="400" spans="2:7" x14ac:dyDescent="0.3">
      <c r="B400" s="12">
        <v>55488</v>
      </c>
      <c r="C400" s="13">
        <f t="shared" si="15"/>
        <v>55518</v>
      </c>
      <c r="D400" s="14">
        <f>'Income Tracker Data'!V398</f>
        <v>0</v>
      </c>
      <c r="E400" s="15">
        <f>'Expense Tracker Data'!V398</f>
        <v>0</v>
      </c>
      <c r="F400" s="15">
        <f t="shared" si="14"/>
        <v>0</v>
      </c>
      <c r="G400" s="15" t="str">
        <f>IF(AND(D400&gt;0,E400&gt;0),G399+Bottom_Line_Table[[#This Row],[Difference]],"N/A")</f>
        <v>N/A</v>
      </c>
    </row>
    <row r="401" spans="2:7" x14ac:dyDescent="0.3">
      <c r="B401" s="12">
        <v>55519</v>
      </c>
      <c r="C401" s="13">
        <f t="shared" si="15"/>
        <v>55549</v>
      </c>
      <c r="D401" s="14">
        <f>'Income Tracker Data'!V399</f>
        <v>0</v>
      </c>
      <c r="E401" s="15">
        <f>'Expense Tracker Data'!V399</f>
        <v>0</v>
      </c>
      <c r="F401" s="15">
        <f t="shared" si="14"/>
        <v>0</v>
      </c>
      <c r="G401" s="15" t="str">
        <f>IF(AND(D401&gt;0,E401&gt;0),G400+Bottom_Line_Table[[#This Row],[Difference]],"N/A")</f>
        <v>N/A</v>
      </c>
    </row>
    <row r="402" spans="2:7" x14ac:dyDescent="0.3">
      <c r="B402" s="12">
        <v>55550</v>
      </c>
      <c r="C402" s="13">
        <f t="shared" si="15"/>
        <v>55578</v>
      </c>
      <c r="D402" s="14">
        <f>'Income Tracker Data'!V400</f>
        <v>0</v>
      </c>
      <c r="E402" s="15">
        <f>'Expense Tracker Data'!V400</f>
        <v>0</v>
      </c>
      <c r="F402" s="15">
        <f t="shared" si="14"/>
        <v>0</v>
      </c>
      <c r="G402" s="15" t="str">
        <f>IF(AND(D402&gt;0,E402&gt;0),G401+Bottom_Line_Table[[#This Row],[Difference]],"N/A")</f>
        <v>N/A</v>
      </c>
    </row>
    <row r="403" spans="2:7" x14ac:dyDescent="0.3">
      <c r="B403" s="12">
        <v>55579</v>
      </c>
      <c r="C403" s="13">
        <f t="shared" si="15"/>
        <v>55609</v>
      </c>
      <c r="D403" s="14">
        <f>'Income Tracker Data'!V401</f>
        <v>0</v>
      </c>
      <c r="E403" s="15">
        <f>'Expense Tracker Data'!V401</f>
        <v>0</v>
      </c>
      <c r="F403" s="15">
        <f t="shared" si="14"/>
        <v>0</v>
      </c>
      <c r="G403" s="15" t="str">
        <f>IF(AND(D403&gt;0,E403&gt;0),G402+Bottom_Line_Table[[#This Row],[Difference]],"N/A")</f>
        <v>N/A</v>
      </c>
    </row>
    <row r="404" spans="2:7" x14ac:dyDescent="0.3">
      <c r="B404" s="12">
        <v>55610</v>
      </c>
      <c r="C404" s="13">
        <f t="shared" si="15"/>
        <v>55639</v>
      </c>
      <c r="D404" s="14">
        <f>'Income Tracker Data'!V402</f>
        <v>0</v>
      </c>
      <c r="E404" s="15">
        <f>'Expense Tracker Data'!V402</f>
        <v>0</v>
      </c>
      <c r="F404" s="15">
        <f t="shared" si="14"/>
        <v>0</v>
      </c>
      <c r="G404" s="15" t="str">
        <f>IF(AND(D404&gt;0,E404&gt;0),G403+Bottom_Line_Table[[#This Row],[Difference]],"N/A")</f>
        <v>N/A</v>
      </c>
    </row>
    <row r="405" spans="2:7" x14ac:dyDescent="0.3">
      <c r="B405" s="12">
        <v>55640</v>
      </c>
      <c r="C405" s="13">
        <f t="shared" si="15"/>
        <v>55670</v>
      </c>
      <c r="D405" s="14">
        <f>'Income Tracker Data'!V403</f>
        <v>0</v>
      </c>
      <c r="E405" s="15">
        <f>'Expense Tracker Data'!V403</f>
        <v>0</v>
      </c>
      <c r="F405" s="15">
        <f t="shared" si="14"/>
        <v>0</v>
      </c>
      <c r="G405" s="15" t="str">
        <f>IF(AND(D405&gt;0,E405&gt;0),G404+Bottom_Line_Table[[#This Row],[Difference]],"N/A")</f>
        <v>N/A</v>
      </c>
    </row>
    <row r="406" spans="2:7" x14ac:dyDescent="0.3">
      <c r="B406" s="12">
        <v>55671</v>
      </c>
      <c r="C406" s="13">
        <f t="shared" si="15"/>
        <v>55700</v>
      </c>
      <c r="D406" s="14">
        <f>'Income Tracker Data'!V404</f>
        <v>0</v>
      </c>
      <c r="E406" s="15">
        <f>'Expense Tracker Data'!V404</f>
        <v>0</v>
      </c>
      <c r="F406" s="15">
        <f t="shared" si="14"/>
        <v>0</v>
      </c>
      <c r="G406" s="15" t="str">
        <f>IF(AND(D406&gt;0,E406&gt;0),G405+Bottom_Line_Table[[#This Row],[Difference]],"N/A")</f>
        <v>N/A</v>
      </c>
    </row>
    <row r="407" spans="2:7" x14ac:dyDescent="0.3">
      <c r="B407" s="12">
        <v>55701</v>
      </c>
      <c r="C407" s="13">
        <f t="shared" si="15"/>
        <v>55731</v>
      </c>
      <c r="D407" s="14">
        <f>'Income Tracker Data'!V405</f>
        <v>0</v>
      </c>
      <c r="E407" s="15">
        <f>'Expense Tracker Data'!V405</f>
        <v>0</v>
      </c>
      <c r="F407" s="15">
        <f t="shared" si="14"/>
        <v>0</v>
      </c>
      <c r="G407" s="15" t="str">
        <f>IF(AND(D407&gt;0,E407&gt;0),G406+Bottom_Line_Table[[#This Row],[Difference]],"N/A")</f>
        <v>N/A</v>
      </c>
    </row>
    <row r="408" spans="2:7" x14ac:dyDescent="0.3">
      <c r="B408" s="12">
        <v>55732</v>
      </c>
      <c r="C408" s="13">
        <f t="shared" si="15"/>
        <v>55762</v>
      </c>
      <c r="D408" s="14">
        <f>'Income Tracker Data'!V406</f>
        <v>0</v>
      </c>
      <c r="E408" s="15">
        <f>'Expense Tracker Data'!V406</f>
        <v>0</v>
      </c>
      <c r="F408" s="15">
        <f t="shared" si="14"/>
        <v>0</v>
      </c>
      <c r="G408" s="15" t="str">
        <f>IF(AND(D408&gt;0,E408&gt;0),G407+Bottom_Line_Table[[#This Row],[Difference]],"N/A")</f>
        <v>N/A</v>
      </c>
    </row>
    <row r="409" spans="2:7" x14ac:dyDescent="0.3">
      <c r="B409" s="12">
        <v>55763</v>
      </c>
      <c r="C409" s="13">
        <f t="shared" si="15"/>
        <v>55792</v>
      </c>
      <c r="D409" s="14">
        <f>'Income Tracker Data'!V407</f>
        <v>0</v>
      </c>
      <c r="E409" s="15">
        <f>'Expense Tracker Data'!V407</f>
        <v>0</v>
      </c>
      <c r="F409" s="15">
        <f t="shared" si="14"/>
        <v>0</v>
      </c>
      <c r="G409" s="15" t="str">
        <f>IF(AND(D409&gt;0,E409&gt;0),G408+Bottom_Line_Table[[#This Row],[Difference]],"N/A")</f>
        <v>N/A</v>
      </c>
    </row>
    <row r="410" spans="2:7" x14ac:dyDescent="0.3">
      <c r="B410" s="12">
        <v>55793</v>
      </c>
      <c r="C410" s="13">
        <f t="shared" si="15"/>
        <v>55823</v>
      </c>
      <c r="D410" s="14">
        <f>'Income Tracker Data'!V408</f>
        <v>0</v>
      </c>
      <c r="E410" s="15">
        <f>'Expense Tracker Data'!V408</f>
        <v>0</v>
      </c>
      <c r="F410" s="15">
        <f t="shared" si="14"/>
        <v>0</v>
      </c>
      <c r="G410" s="15" t="str">
        <f>IF(AND(D410&gt;0,E410&gt;0),G409+Bottom_Line_Table[[#This Row],[Difference]],"N/A")</f>
        <v>N/A</v>
      </c>
    </row>
    <row r="411" spans="2:7" x14ac:dyDescent="0.3">
      <c r="B411" s="12">
        <v>55824</v>
      </c>
      <c r="C411" s="13">
        <f t="shared" si="15"/>
        <v>55853</v>
      </c>
      <c r="D411" s="14">
        <f>'Income Tracker Data'!V409</f>
        <v>0</v>
      </c>
      <c r="E411" s="15">
        <f>'Expense Tracker Data'!V409</f>
        <v>0</v>
      </c>
      <c r="F411" s="15">
        <f t="shared" si="14"/>
        <v>0</v>
      </c>
      <c r="G411" s="15" t="str">
        <f>IF(AND(D411&gt;0,E411&gt;0),G410+Bottom_Line_Table[[#This Row],[Difference]],"N/A")</f>
        <v>N/A</v>
      </c>
    </row>
    <row r="412" spans="2:7" x14ac:dyDescent="0.3">
      <c r="B412" s="12">
        <v>55854</v>
      </c>
      <c r="C412" s="13">
        <f t="shared" si="15"/>
        <v>55884</v>
      </c>
      <c r="D412" s="14">
        <f>'Income Tracker Data'!V410</f>
        <v>0</v>
      </c>
      <c r="E412" s="15">
        <f>'Expense Tracker Data'!V410</f>
        <v>0</v>
      </c>
      <c r="F412" s="15">
        <f t="shared" si="14"/>
        <v>0</v>
      </c>
      <c r="G412" s="15" t="str">
        <f>IF(AND(D412&gt;0,E412&gt;0),G411+Bottom_Line_Table[[#This Row],[Difference]],"N/A")</f>
        <v>N/A</v>
      </c>
    </row>
    <row r="413" spans="2:7" x14ac:dyDescent="0.3">
      <c r="B413" s="12">
        <v>55885</v>
      </c>
      <c r="C413" s="13">
        <f t="shared" si="15"/>
        <v>55915</v>
      </c>
      <c r="D413" s="14">
        <f>'Income Tracker Data'!V411</f>
        <v>0</v>
      </c>
      <c r="E413" s="15">
        <f>'Expense Tracker Data'!V411</f>
        <v>0</v>
      </c>
      <c r="F413" s="15">
        <f t="shared" si="14"/>
        <v>0</v>
      </c>
      <c r="G413" s="15" t="str">
        <f>IF(AND(D413&gt;0,E413&gt;0),G412+Bottom_Line_Table[[#This Row],[Difference]],"N/A")</f>
        <v>N/A</v>
      </c>
    </row>
    <row r="414" spans="2:7" x14ac:dyDescent="0.3">
      <c r="B414" s="12">
        <v>55916</v>
      </c>
      <c r="C414" s="13">
        <f t="shared" si="15"/>
        <v>55943</v>
      </c>
      <c r="D414" s="14">
        <f>'Income Tracker Data'!V412</f>
        <v>0</v>
      </c>
      <c r="E414" s="15">
        <f>'Expense Tracker Data'!V412</f>
        <v>0</v>
      </c>
      <c r="F414" s="15">
        <f t="shared" si="14"/>
        <v>0</v>
      </c>
      <c r="G414" s="15" t="str">
        <f>IF(AND(D414&gt;0,E414&gt;0),G413+Bottom_Line_Table[[#This Row],[Difference]],"N/A")</f>
        <v>N/A</v>
      </c>
    </row>
    <row r="415" spans="2:7" x14ac:dyDescent="0.3">
      <c r="B415" s="12">
        <v>55944</v>
      </c>
      <c r="C415" s="13">
        <f t="shared" si="15"/>
        <v>55974</v>
      </c>
      <c r="D415" s="14">
        <f>'Income Tracker Data'!V413</f>
        <v>0</v>
      </c>
      <c r="E415" s="15">
        <f>'Expense Tracker Data'!V413</f>
        <v>0</v>
      </c>
      <c r="F415" s="15">
        <f t="shared" si="14"/>
        <v>0</v>
      </c>
      <c r="G415" s="15" t="str">
        <f>IF(AND(D415&gt;0,E415&gt;0),G414+Bottom_Line_Table[[#This Row],[Difference]],"N/A")</f>
        <v>N/A</v>
      </c>
    </row>
    <row r="416" spans="2:7" x14ac:dyDescent="0.3">
      <c r="B416" s="12">
        <v>55975</v>
      </c>
      <c r="C416" s="13">
        <f t="shared" si="15"/>
        <v>56004</v>
      </c>
      <c r="D416" s="14">
        <f>'Income Tracker Data'!V414</f>
        <v>0</v>
      </c>
      <c r="E416" s="15">
        <f>'Expense Tracker Data'!V414</f>
        <v>0</v>
      </c>
      <c r="F416" s="15">
        <f t="shared" si="14"/>
        <v>0</v>
      </c>
      <c r="G416" s="15" t="str">
        <f>IF(AND(D416&gt;0,E416&gt;0),G415+Bottom_Line_Table[[#This Row],[Difference]],"N/A")</f>
        <v>N/A</v>
      </c>
    </row>
    <row r="417" spans="2:7" x14ac:dyDescent="0.3">
      <c r="B417" s="12">
        <v>56005</v>
      </c>
      <c r="C417" s="13">
        <f t="shared" si="15"/>
        <v>56035</v>
      </c>
      <c r="D417" s="14">
        <f>'Income Tracker Data'!V415</f>
        <v>0</v>
      </c>
      <c r="E417" s="15">
        <f>'Expense Tracker Data'!V415</f>
        <v>0</v>
      </c>
      <c r="F417" s="15">
        <f t="shared" si="14"/>
        <v>0</v>
      </c>
      <c r="G417" s="15" t="str">
        <f>IF(AND(D417&gt;0,E417&gt;0),G416+Bottom_Line_Table[[#This Row],[Difference]],"N/A")</f>
        <v>N/A</v>
      </c>
    </row>
    <row r="418" spans="2:7" x14ac:dyDescent="0.3">
      <c r="B418" s="12">
        <v>56036</v>
      </c>
      <c r="C418" s="13">
        <f t="shared" si="15"/>
        <v>56065</v>
      </c>
      <c r="D418" s="14">
        <f>'Income Tracker Data'!V416</f>
        <v>0</v>
      </c>
      <c r="E418" s="15">
        <f>'Expense Tracker Data'!V416</f>
        <v>0</v>
      </c>
      <c r="F418" s="15">
        <f t="shared" si="14"/>
        <v>0</v>
      </c>
      <c r="G418" s="15" t="str">
        <f>IF(AND(D418&gt;0,E418&gt;0),G417+Bottom_Line_Table[[#This Row],[Difference]],"N/A")</f>
        <v>N/A</v>
      </c>
    </row>
    <row r="419" spans="2:7" x14ac:dyDescent="0.3">
      <c r="B419" s="12">
        <v>56066</v>
      </c>
      <c r="C419" s="13">
        <f t="shared" si="15"/>
        <v>56096</v>
      </c>
      <c r="D419" s="14">
        <f>'Income Tracker Data'!V417</f>
        <v>0</v>
      </c>
      <c r="E419" s="15">
        <f>'Expense Tracker Data'!V417</f>
        <v>0</v>
      </c>
      <c r="F419" s="15">
        <f t="shared" si="14"/>
        <v>0</v>
      </c>
      <c r="G419" s="15" t="str">
        <f>IF(AND(D419&gt;0,E419&gt;0),G418+Bottom_Line_Table[[#This Row],[Difference]],"N/A")</f>
        <v>N/A</v>
      </c>
    </row>
    <row r="420" spans="2:7" x14ac:dyDescent="0.3">
      <c r="B420" s="12">
        <v>56097</v>
      </c>
      <c r="C420" s="13">
        <f t="shared" si="15"/>
        <v>56127</v>
      </c>
      <c r="D420" s="14">
        <f>'Income Tracker Data'!V418</f>
        <v>0</v>
      </c>
      <c r="E420" s="15">
        <f>'Expense Tracker Data'!V418</f>
        <v>0</v>
      </c>
      <c r="F420" s="15">
        <f t="shared" si="14"/>
        <v>0</v>
      </c>
      <c r="G420" s="15" t="str">
        <f>IF(AND(D420&gt;0,E420&gt;0),G419+Bottom_Line_Table[[#This Row],[Difference]],"N/A")</f>
        <v>N/A</v>
      </c>
    </row>
    <row r="421" spans="2:7" x14ac:dyDescent="0.3">
      <c r="B421" s="12">
        <v>56128</v>
      </c>
      <c r="C421" s="13">
        <f t="shared" si="15"/>
        <v>56157</v>
      </c>
      <c r="D421" s="14">
        <f>'Income Tracker Data'!V419</f>
        <v>0</v>
      </c>
      <c r="E421" s="15">
        <f>'Expense Tracker Data'!V419</f>
        <v>0</v>
      </c>
      <c r="F421" s="15">
        <f t="shared" si="14"/>
        <v>0</v>
      </c>
      <c r="G421" s="15" t="str">
        <f>IF(AND(D421&gt;0,E421&gt;0),G420+Bottom_Line_Table[[#This Row],[Difference]],"N/A")</f>
        <v>N/A</v>
      </c>
    </row>
    <row r="422" spans="2:7" x14ac:dyDescent="0.3">
      <c r="B422" s="12">
        <v>56158</v>
      </c>
      <c r="C422" s="13">
        <f t="shared" si="15"/>
        <v>56188</v>
      </c>
      <c r="D422" s="14">
        <f>'Income Tracker Data'!V420</f>
        <v>0</v>
      </c>
      <c r="E422" s="15">
        <f>'Expense Tracker Data'!V420</f>
        <v>0</v>
      </c>
      <c r="F422" s="15">
        <f t="shared" si="14"/>
        <v>0</v>
      </c>
      <c r="G422" s="15" t="str">
        <f>IF(AND(D422&gt;0,E422&gt;0),G421+Bottom_Line_Table[[#This Row],[Difference]],"N/A")</f>
        <v>N/A</v>
      </c>
    </row>
    <row r="423" spans="2:7" x14ac:dyDescent="0.3">
      <c r="B423" s="12">
        <v>56189</v>
      </c>
      <c r="C423" s="13">
        <f t="shared" si="15"/>
        <v>56218</v>
      </c>
      <c r="D423" s="14">
        <f>'Income Tracker Data'!V421</f>
        <v>0</v>
      </c>
      <c r="E423" s="15">
        <f>'Expense Tracker Data'!V421</f>
        <v>0</v>
      </c>
      <c r="F423" s="15">
        <f t="shared" si="14"/>
        <v>0</v>
      </c>
      <c r="G423" s="15" t="str">
        <f>IF(AND(D423&gt;0,E423&gt;0),G422+Bottom_Line_Table[[#This Row],[Difference]],"N/A")</f>
        <v>N/A</v>
      </c>
    </row>
    <row r="424" spans="2:7" x14ac:dyDescent="0.3">
      <c r="B424" s="12">
        <v>56219</v>
      </c>
      <c r="C424" s="13">
        <f t="shared" si="15"/>
        <v>56249</v>
      </c>
      <c r="D424" s="14">
        <f>'Income Tracker Data'!V422</f>
        <v>0</v>
      </c>
      <c r="E424" s="15">
        <f>'Expense Tracker Data'!V422</f>
        <v>0</v>
      </c>
      <c r="F424" s="15">
        <f t="shared" si="14"/>
        <v>0</v>
      </c>
      <c r="G424" s="15" t="str">
        <f>IF(AND(D424&gt;0,E424&gt;0),G423+Bottom_Line_Table[[#This Row],[Difference]],"N/A")</f>
        <v>N/A</v>
      </c>
    </row>
    <row r="425" spans="2:7" x14ac:dyDescent="0.3">
      <c r="B425" s="12">
        <v>56250</v>
      </c>
      <c r="C425" s="13">
        <f t="shared" si="15"/>
        <v>56280</v>
      </c>
      <c r="D425" s="14">
        <f>'Income Tracker Data'!V423</f>
        <v>0</v>
      </c>
      <c r="E425" s="15">
        <f>'Expense Tracker Data'!V423</f>
        <v>0</v>
      </c>
      <c r="F425" s="15">
        <f t="shared" si="14"/>
        <v>0</v>
      </c>
      <c r="G425" s="15" t="str">
        <f>IF(AND(D425&gt;0,E425&gt;0),G424+Bottom_Line_Table[[#This Row],[Difference]],"N/A")</f>
        <v>N/A</v>
      </c>
    </row>
    <row r="426" spans="2:7" x14ac:dyDescent="0.3">
      <c r="B426" s="12">
        <v>56281</v>
      </c>
      <c r="C426" s="13">
        <f t="shared" si="15"/>
        <v>56308</v>
      </c>
      <c r="D426" s="14">
        <f>'Income Tracker Data'!V424</f>
        <v>0</v>
      </c>
      <c r="E426" s="15">
        <f>'Expense Tracker Data'!V424</f>
        <v>0</v>
      </c>
      <c r="F426" s="15">
        <f t="shared" si="14"/>
        <v>0</v>
      </c>
      <c r="G426" s="15" t="str">
        <f>IF(AND(D426&gt;0,E426&gt;0),G425+Bottom_Line_Table[[#This Row],[Difference]],"N/A")</f>
        <v>N/A</v>
      </c>
    </row>
    <row r="427" spans="2:7" x14ac:dyDescent="0.3">
      <c r="B427" s="12">
        <v>56309</v>
      </c>
      <c r="C427" s="13">
        <f t="shared" si="15"/>
        <v>56339</v>
      </c>
      <c r="D427" s="14">
        <f>'Income Tracker Data'!V425</f>
        <v>0</v>
      </c>
      <c r="E427" s="15">
        <f>'Expense Tracker Data'!V425</f>
        <v>0</v>
      </c>
      <c r="F427" s="15">
        <f t="shared" si="14"/>
        <v>0</v>
      </c>
      <c r="G427" s="15" t="str">
        <f>IF(AND(D427&gt;0,E427&gt;0),G426+Bottom_Line_Table[[#This Row],[Difference]],"N/A")</f>
        <v>N/A</v>
      </c>
    </row>
    <row r="428" spans="2:7" x14ac:dyDescent="0.3">
      <c r="B428" s="12">
        <v>56340</v>
      </c>
      <c r="C428" s="13">
        <f t="shared" si="15"/>
        <v>56369</v>
      </c>
      <c r="D428" s="14">
        <f>'Income Tracker Data'!V426</f>
        <v>0</v>
      </c>
      <c r="E428" s="15">
        <f>'Expense Tracker Data'!V426</f>
        <v>0</v>
      </c>
      <c r="F428" s="15">
        <f t="shared" si="14"/>
        <v>0</v>
      </c>
      <c r="G428" s="15" t="str">
        <f>IF(AND(D428&gt;0,E428&gt;0),G427+Bottom_Line_Table[[#This Row],[Difference]],"N/A")</f>
        <v>N/A</v>
      </c>
    </row>
    <row r="429" spans="2:7" x14ac:dyDescent="0.3">
      <c r="B429" s="12">
        <v>56370</v>
      </c>
      <c r="C429" s="13">
        <f t="shared" si="15"/>
        <v>56400</v>
      </c>
      <c r="D429" s="14">
        <f>'Income Tracker Data'!V427</f>
        <v>0</v>
      </c>
      <c r="E429" s="15">
        <f>'Expense Tracker Data'!V427</f>
        <v>0</v>
      </c>
      <c r="F429" s="15">
        <f t="shared" si="14"/>
        <v>0</v>
      </c>
      <c r="G429" s="15" t="str">
        <f>IF(AND(D429&gt;0,E429&gt;0),G428+Bottom_Line_Table[[#This Row],[Difference]],"N/A")</f>
        <v>N/A</v>
      </c>
    </row>
    <row r="430" spans="2:7" x14ac:dyDescent="0.3">
      <c r="B430" s="12">
        <v>56401</v>
      </c>
      <c r="C430" s="13">
        <f t="shared" si="15"/>
        <v>56430</v>
      </c>
      <c r="D430" s="14">
        <f>'Income Tracker Data'!V428</f>
        <v>0</v>
      </c>
      <c r="E430" s="15">
        <f>'Expense Tracker Data'!V428</f>
        <v>0</v>
      </c>
      <c r="F430" s="15">
        <f t="shared" si="14"/>
        <v>0</v>
      </c>
      <c r="G430" s="15" t="str">
        <f>IF(AND(D430&gt;0,E430&gt;0),G429+Bottom_Line_Table[[#This Row],[Difference]],"N/A")</f>
        <v>N/A</v>
      </c>
    </row>
    <row r="431" spans="2:7" x14ac:dyDescent="0.3">
      <c r="B431" s="12">
        <v>56431</v>
      </c>
      <c r="C431" s="13">
        <f t="shared" si="15"/>
        <v>56461</v>
      </c>
      <c r="D431" s="14">
        <f>'Income Tracker Data'!V429</f>
        <v>0</v>
      </c>
      <c r="E431" s="15">
        <f>'Expense Tracker Data'!V429</f>
        <v>0</v>
      </c>
      <c r="F431" s="15">
        <f t="shared" si="14"/>
        <v>0</v>
      </c>
      <c r="G431" s="15" t="str">
        <f>IF(AND(D431&gt;0,E431&gt;0),G430+Bottom_Line_Table[[#This Row],[Difference]],"N/A")</f>
        <v>N/A</v>
      </c>
    </row>
    <row r="432" spans="2:7" x14ac:dyDescent="0.3">
      <c r="B432" s="12">
        <v>56462</v>
      </c>
      <c r="C432" s="13">
        <f t="shared" si="15"/>
        <v>56492</v>
      </c>
      <c r="D432" s="14">
        <f>'Income Tracker Data'!V430</f>
        <v>0</v>
      </c>
      <c r="E432" s="15">
        <f>'Expense Tracker Data'!V430</f>
        <v>0</v>
      </c>
      <c r="F432" s="15">
        <f t="shared" si="14"/>
        <v>0</v>
      </c>
      <c r="G432" s="15" t="str">
        <f>IF(AND(D432&gt;0,E432&gt;0),G431+Bottom_Line_Table[[#This Row],[Difference]],"N/A")</f>
        <v>N/A</v>
      </c>
    </row>
    <row r="433" spans="2:7" x14ac:dyDescent="0.3">
      <c r="B433" s="12">
        <v>56493</v>
      </c>
      <c r="C433" s="13">
        <f t="shared" si="15"/>
        <v>56522</v>
      </c>
      <c r="D433" s="14">
        <f>'Income Tracker Data'!V431</f>
        <v>0</v>
      </c>
      <c r="E433" s="15">
        <f>'Expense Tracker Data'!V431</f>
        <v>0</v>
      </c>
      <c r="F433" s="15">
        <f t="shared" si="14"/>
        <v>0</v>
      </c>
      <c r="G433" s="15" t="str">
        <f>IF(AND(D433&gt;0,E433&gt;0),G432+Bottom_Line_Table[[#This Row],[Difference]],"N/A")</f>
        <v>N/A</v>
      </c>
    </row>
    <row r="434" spans="2:7" x14ac:dyDescent="0.3">
      <c r="B434" s="12">
        <v>56523</v>
      </c>
      <c r="C434" s="13">
        <f t="shared" si="15"/>
        <v>56553</v>
      </c>
      <c r="D434" s="14">
        <f>'Income Tracker Data'!V432</f>
        <v>0</v>
      </c>
      <c r="E434" s="15">
        <f>'Expense Tracker Data'!V432</f>
        <v>0</v>
      </c>
      <c r="F434" s="15">
        <f t="shared" si="14"/>
        <v>0</v>
      </c>
      <c r="G434" s="15" t="str">
        <f>IF(AND(D434&gt;0,E434&gt;0),G433+Bottom_Line_Table[[#This Row],[Difference]],"N/A")</f>
        <v>N/A</v>
      </c>
    </row>
    <row r="435" spans="2:7" x14ac:dyDescent="0.3">
      <c r="B435" s="12">
        <v>56554</v>
      </c>
      <c r="C435" s="13">
        <f t="shared" si="15"/>
        <v>56583</v>
      </c>
      <c r="D435" s="14">
        <f>'Income Tracker Data'!V433</f>
        <v>0</v>
      </c>
      <c r="E435" s="15">
        <f>'Expense Tracker Data'!V433</f>
        <v>0</v>
      </c>
      <c r="F435" s="15">
        <f t="shared" si="14"/>
        <v>0</v>
      </c>
      <c r="G435" s="15" t="str">
        <f>IF(AND(D435&gt;0,E435&gt;0),G434+Bottom_Line_Table[[#This Row],[Difference]],"N/A")</f>
        <v>N/A</v>
      </c>
    </row>
    <row r="436" spans="2:7" x14ac:dyDescent="0.3">
      <c r="B436" s="12">
        <v>56584</v>
      </c>
      <c r="C436" s="13">
        <f t="shared" si="15"/>
        <v>56614</v>
      </c>
      <c r="D436" s="14">
        <f>'Income Tracker Data'!V434</f>
        <v>0</v>
      </c>
      <c r="E436" s="15">
        <f>'Expense Tracker Data'!V434</f>
        <v>0</v>
      </c>
      <c r="F436" s="15">
        <f t="shared" si="14"/>
        <v>0</v>
      </c>
      <c r="G436" s="15" t="str">
        <f>IF(AND(D436&gt;0,E436&gt;0),G435+Bottom_Line_Table[[#This Row],[Difference]],"N/A")</f>
        <v>N/A</v>
      </c>
    </row>
    <row r="437" spans="2:7" x14ac:dyDescent="0.3">
      <c r="B437" s="12">
        <v>56615</v>
      </c>
      <c r="C437" s="13">
        <f t="shared" si="15"/>
        <v>56645</v>
      </c>
      <c r="D437" s="14">
        <f>'Income Tracker Data'!V435</f>
        <v>0</v>
      </c>
      <c r="E437" s="15">
        <f>'Expense Tracker Data'!V435</f>
        <v>0</v>
      </c>
      <c r="F437" s="15">
        <f t="shared" si="14"/>
        <v>0</v>
      </c>
      <c r="G437" s="15" t="str">
        <f>IF(AND(D437&gt;0,E437&gt;0),G436+Bottom_Line_Table[[#This Row],[Difference]],"N/A")</f>
        <v>N/A</v>
      </c>
    </row>
    <row r="438" spans="2:7" x14ac:dyDescent="0.3">
      <c r="B438" s="12">
        <v>56646</v>
      </c>
      <c r="C438" s="13">
        <f t="shared" si="15"/>
        <v>56673</v>
      </c>
      <c r="D438" s="14">
        <f>'Income Tracker Data'!V436</f>
        <v>0</v>
      </c>
      <c r="E438" s="15">
        <f>'Expense Tracker Data'!V436</f>
        <v>0</v>
      </c>
      <c r="F438" s="15">
        <f t="shared" si="14"/>
        <v>0</v>
      </c>
      <c r="G438" s="15" t="str">
        <f>IF(AND(D438&gt;0,E438&gt;0),G437+Bottom_Line_Table[[#This Row],[Difference]],"N/A")</f>
        <v>N/A</v>
      </c>
    </row>
    <row r="439" spans="2:7" x14ac:dyDescent="0.3">
      <c r="B439" s="12">
        <v>56674</v>
      </c>
      <c r="C439" s="13">
        <f t="shared" si="15"/>
        <v>56704</v>
      </c>
      <c r="D439" s="14">
        <f>'Income Tracker Data'!V437</f>
        <v>0</v>
      </c>
      <c r="E439" s="15">
        <f>'Expense Tracker Data'!V437</f>
        <v>0</v>
      </c>
      <c r="F439" s="15">
        <f t="shared" si="14"/>
        <v>0</v>
      </c>
      <c r="G439" s="15" t="str">
        <f>IF(AND(D439&gt;0,E439&gt;0),G438+Bottom_Line_Table[[#This Row],[Difference]],"N/A")</f>
        <v>N/A</v>
      </c>
    </row>
    <row r="440" spans="2:7" x14ac:dyDescent="0.3">
      <c r="B440" s="12">
        <v>56705</v>
      </c>
      <c r="C440" s="13">
        <f t="shared" si="15"/>
        <v>56734</v>
      </c>
      <c r="D440" s="14">
        <f>'Income Tracker Data'!V438</f>
        <v>0</v>
      </c>
      <c r="E440" s="15">
        <f>'Expense Tracker Data'!V438</f>
        <v>0</v>
      </c>
      <c r="F440" s="15">
        <f t="shared" si="14"/>
        <v>0</v>
      </c>
      <c r="G440" s="15" t="str">
        <f>IF(AND(D440&gt;0,E440&gt;0),G439+Bottom_Line_Table[[#This Row],[Difference]],"N/A")</f>
        <v>N/A</v>
      </c>
    </row>
    <row r="441" spans="2:7" x14ac:dyDescent="0.3">
      <c r="B441" s="12">
        <v>56735</v>
      </c>
      <c r="C441" s="13">
        <f t="shared" si="15"/>
        <v>56765</v>
      </c>
      <c r="D441" s="14">
        <f>'Income Tracker Data'!V439</f>
        <v>0</v>
      </c>
      <c r="E441" s="15">
        <f>'Expense Tracker Data'!V439</f>
        <v>0</v>
      </c>
      <c r="F441" s="15">
        <f t="shared" si="14"/>
        <v>0</v>
      </c>
      <c r="G441" s="15" t="str">
        <f>IF(AND(D441&gt;0,E441&gt;0),G440+Bottom_Line_Table[[#This Row],[Difference]],"N/A")</f>
        <v>N/A</v>
      </c>
    </row>
    <row r="442" spans="2:7" x14ac:dyDescent="0.3">
      <c r="B442" s="12">
        <v>56766</v>
      </c>
      <c r="C442" s="13">
        <f t="shared" si="15"/>
        <v>56795</v>
      </c>
      <c r="D442" s="14">
        <f>'Income Tracker Data'!V440</f>
        <v>0</v>
      </c>
      <c r="E442" s="15">
        <f>'Expense Tracker Data'!V440</f>
        <v>0</v>
      </c>
      <c r="F442" s="15">
        <f t="shared" si="14"/>
        <v>0</v>
      </c>
      <c r="G442" s="15" t="str">
        <f>IF(AND(D442&gt;0,E442&gt;0),G441+Bottom_Line_Table[[#This Row],[Difference]],"N/A")</f>
        <v>N/A</v>
      </c>
    </row>
    <row r="443" spans="2:7" x14ac:dyDescent="0.3">
      <c r="B443" s="12">
        <v>56796</v>
      </c>
      <c r="C443" s="13">
        <f t="shared" si="15"/>
        <v>56826</v>
      </c>
      <c r="D443" s="14">
        <f>'Income Tracker Data'!V441</f>
        <v>0</v>
      </c>
      <c r="E443" s="15">
        <f>'Expense Tracker Data'!V441</f>
        <v>0</v>
      </c>
      <c r="F443" s="15">
        <f t="shared" si="14"/>
        <v>0</v>
      </c>
      <c r="G443" s="15" t="str">
        <f>IF(AND(D443&gt;0,E443&gt;0),G442+Bottom_Line_Table[[#This Row],[Difference]],"N/A")</f>
        <v>N/A</v>
      </c>
    </row>
    <row r="444" spans="2:7" x14ac:dyDescent="0.3">
      <c r="B444" s="12">
        <v>56827</v>
      </c>
      <c r="C444" s="13">
        <f t="shared" si="15"/>
        <v>56857</v>
      </c>
      <c r="D444" s="14">
        <f>'Income Tracker Data'!V442</f>
        <v>0</v>
      </c>
      <c r="E444" s="15">
        <f>'Expense Tracker Data'!V442</f>
        <v>0</v>
      </c>
      <c r="F444" s="15">
        <f t="shared" si="14"/>
        <v>0</v>
      </c>
      <c r="G444" s="15" t="str">
        <f>IF(AND(D444&gt;0,E444&gt;0),G443+Bottom_Line_Table[[#This Row],[Difference]],"N/A")</f>
        <v>N/A</v>
      </c>
    </row>
    <row r="445" spans="2:7" x14ac:dyDescent="0.3">
      <c r="B445" s="12">
        <v>56858</v>
      </c>
      <c r="C445" s="13">
        <f t="shared" si="15"/>
        <v>56887</v>
      </c>
      <c r="D445" s="14">
        <f>'Income Tracker Data'!V443</f>
        <v>0</v>
      </c>
      <c r="E445" s="15">
        <f>'Expense Tracker Data'!V443</f>
        <v>0</v>
      </c>
      <c r="F445" s="15">
        <f t="shared" si="14"/>
        <v>0</v>
      </c>
      <c r="G445" s="15" t="str">
        <f>IF(AND(D445&gt;0,E445&gt;0),G444+Bottom_Line_Table[[#This Row],[Difference]],"N/A")</f>
        <v>N/A</v>
      </c>
    </row>
    <row r="446" spans="2:7" x14ac:dyDescent="0.3">
      <c r="B446" s="12">
        <v>56888</v>
      </c>
      <c r="C446" s="13">
        <f t="shared" si="15"/>
        <v>56918</v>
      </c>
      <c r="D446" s="14">
        <f>'Income Tracker Data'!V444</f>
        <v>0</v>
      </c>
      <c r="E446" s="15">
        <f>'Expense Tracker Data'!V444</f>
        <v>0</v>
      </c>
      <c r="F446" s="15">
        <f t="shared" si="14"/>
        <v>0</v>
      </c>
      <c r="G446" s="15" t="str">
        <f>IF(AND(D446&gt;0,E446&gt;0),G445+Bottom_Line_Table[[#This Row],[Difference]],"N/A")</f>
        <v>N/A</v>
      </c>
    </row>
    <row r="447" spans="2:7" x14ac:dyDescent="0.3">
      <c r="B447" s="12">
        <v>56919</v>
      </c>
      <c r="C447" s="13">
        <f t="shared" si="15"/>
        <v>56948</v>
      </c>
      <c r="D447" s="14">
        <f>'Income Tracker Data'!V445</f>
        <v>0</v>
      </c>
      <c r="E447" s="15">
        <f>'Expense Tracker Data'!V445</f>
        <v>0</v>
      </c>
      <c r="F447" s="15">
        <f t="shared" si="14"/>
        <v>0</v>
      </c>
      <c r="G447" s="15" t="str">
        <f>IF(AND(D447&gt;0,E447&gt;0),G446+Bottom_Line_Table[[#This Row],[Difference]],"N/A")</f>
        <v>N/A</v>
      </c>
    </row>
    <row r="448" spans="2:7" x14ac:dyDescent="0.3">
      <c r="B448" s="12">
        <v>56949</v>
      </c>
      <c r="C448" s="13">
        <f t="shared" si="15"/>
        <v>56979</v>
      </c>
      <c r="D448" s="14">
        <f>'Income Tracker Data'!V446</f>
        <v>0</v>
      </c>
      <c r="E448" s="15">
        <f>'Expense Tracker Data'!V446</f>
        <v>0</v>
      </c>
      <c r="F448" s="15">
        <f t="shared" si="14"/>
        <v>0</v>
      </c>
      <c r="G448" s="15" t="str">
        <f>IF(AND(D448&gt;0,E448&gt;0),G447+Bottom_Line_Table[[#This Row],[Difference]],"N/A")</f>
        <v>N/A</v>
      </c>
    </row>
    <row r="449" spans="2:7" x14ac:dyDescent="0.3">
      <c r="B449" s="12">
        <v>56980</v>
      </c>
      <c r="C449" s="13">
        <f t="shared" si="15"/>
        <v>57010</v>
      </c>
      <c r="D449" s="14">
        <f>'Income Tracker Data'!V447</f>
        <v>0</v>
      </c>
      <c r="E449" s="15">
        <f>'Expense Tracker Data'!V447</f>
        <v>0</v>
      </c>
      <c r="F449" s="15">
        <f t="shared" si="14"/>
        <v>0</v>
      </c>
      <c r="G449" s="15" t="str">
        <f>IF(AND(D449&gt;0,E449&gt;0),G448+Bottom_Line_Table[[#This Row],[Difference]],"N/A")</f>
        <v>N/A</v>
      </c>
    </row>
    <row r="450" spans="2:7" x14ac:dyDescent="0.3">
      <c r="B450" s="12">
        <v>57011</v>
      </c>
      <c r="C450" s="13">
        <f t="shared" si="15"/>
        <v>57039</v>
      </c>
      <c r="D450" s="14">
        <f>'Income Tracker Data'!V448</f>
        <v>0</v>
      </c>
      <c r="E450" s="15">
        <f>'Expense Tracker Data'!V448</f>
        <v>0</v>
      </c>
      <c r="F450" s="15">
        <f t="shared" si="14"/>
        <v>0</v>
      </c>
      <c r="G450" s="15" t="str">
        <f>IF(AND(D450&gt;0,E450&gt;0),G449+Bottom_Line_Table[[#This Row],[Difference]],"N/A")</f>
        <v>N/A</v>
      </c>
    </row>
    <row r="451" spans="2:7" x14ac:dyDescent="0.3">
      <c r="B451" s="12">
        <v>57040</v>
      </c>
      <c r="C451" s="13">
        <f t="shared" si="15"/>
        <v>57070</v>
      </c>
      <c r="D451" s="14">
        <f>'Income Tracker Data'!V449</f>
        <v>0</v>
      </c>
      <c r="E451" s="15">
        <f>'Expense Tracker Data'!V449</f>
        <v>0</v>
      </c>
      <c r="F451" s="15">
        <f t="shared" si="14"/>
        <v>0</v>
      </c>
      <c r="G451" s="15" t="str">
        <f>IF(AND(D451&gt;0,E451&gt;0),G450+Bottom_Line_Table[[#This Row],[Difference]],"N/A")</f>
        <v>N/A</v>
      </c>
    </row>
    <row r="452" spans="2:7" x14ac:dyDescent="0.3">
      <c r="B452" s="12">
        <v>57071</v>
      </c>
      <c r="C452" s="13">
        <f t="shared" si="15"/>
        <v>57100</v>
      </c>
      <c r="D452" s="14">
        <f>'Income Tracker Data'!V450</f>
        <v>0</v>
      </c>
      <c r="E452" s="15">
        <f>'Expense Tracker Data'!V450</f>
        <v>0</v>
      </c>
      <c r="F452" s="15">
        <f t="shared" si="14"/>
        <v>0</v>
      </c>
      <c r="G452" s="15" t="str">
        <f>IF(AND(D452&gt;0,E452&gt;0),G451+Bottom_Line_Table[[#This Row],[Difference]],"N/A")</f>
        <v>N/A</v>
      </c>
    </row>
    <row r="453" spans="2:7" x14ac:dyDescent="0.3">
      <c r="B453" s="12">
        <v>57101</v>
      </c>
      <c r="C453" s="13">
        <f t="shared" si="15"/>
        <v>57131</v>
      </c>
      <c r="D453" s="14">
        <f>'Income Tracker Data'!V451</f>
        <v>0</v>
      </c>
      <c r="E453" s="15">
        <f>'Expense Tracker Data'!V451</f>
        <v>0</v>
      </c>
      <c r="F453" s="15">
        <f t="shared" si="14"/>
        <v>0</v>
      </c>
      <c r="G453" s="15" t="str">
        <f>IF(AND(D453&gt;0,E453&gt;0),G452+Bottom_Line_Table[[#This Row],[Difference]],"N/A")</f>
        <v>N/A</v>
      </c>
    </row>
    <row r="454" spans="2:7" x14ac:dyDescent="0.3">
      <c r="B454" s="12">
        <v>57132</v>
      </c>
      <c r="C454" s="13">
        <f t="shared" si="15"/>
        <v>57161</v>
      </c>
      <c r="D454" s="14">
        <f>'Income Tracker Data'!V452</f>
        <v>0</v>
      </c>
      <c r="E454" s="15">
        <f>'Expense Tracker Data'!V452</f>
        <v>0</v>
      </c>
      <c r="F454" s="15">
        <f t="shared" ref="F454:F517" si="16">D454-E454</f>
        <v>0</v>
      </c>
      <c r="G454" s="15" t="str">
        <f>IF(AND(D454&gt;0,E454&gt;0),G453+Bottom_Line_Table[[#This Row],[Difference]],"N/A")</f>
        <v>N/A</v>
      </c>
    </row>
    <row r="455" spans="2:7" x14ac:dyDescent="0.3">
      <c r="B455" s="12">
        <v>57162</v>
      </c>
      <c r="C455" s="13">
        <f t="shared" si="15"/>
        <v>57192</v>
      </c>
      <c r="D455" s="14">
        <f>'Income Tracker Data'!V453</f>
        <v>0</v>
      </c>
      <c r="E455" s="15">
        <f>'Expense Tracker Data'!V453</f>
        <v>0</v>
      </c>
      <c r="F455" s="15">
        <f t="shared" si="16"/>
        <v>0</v>
      </c>
      <c r="G455" s="15" t="str">
        <f>IF(AND(D455&gt;0,E455&gt;0),G454+Bottom_Line_Table[[#This Row],[Difference]],"N/A")</f>
        <v>N/A</v>
      </c>
    </row>
    <row r="456" spans="2:7" x14ac:dyDescent="0.3">
      <c r="B456" s="12">
        <v>57193</v>
      </c>
      <c r="C456" s="13">
        <f t="shared" si="15"/>
        <v>57223</v>
      </c>
      <c r="D456" s="14">
        <f>'Income Tracker Data'!V454</f>
        <v>0</v>
      </c>
      <c r="E456" s="15">
        <f>'Expense Tracker Data'!V454</f>
        <v>0</v>
      </c>
      <c r="F456" s="15">
        <f t="shared" si="16"/>
        <v>0</v>
      </c>
      <c r="G456" s="15" t="str">
        <f>IF(AND(D456&gt;0,E456&gt;0),G455+Bottom_Line_Table[[#This Row],[Difference]],"N/A")</f>
        <v>N/A</v>
      </c>
    </row>
    <row r="457" spans="2:7" x14ac:dyDescent="0.3">
      <c r="B457" s="12">
        <v>57224</v>
      </c>
      <c r="C457" s="13">
        <f t="shared" si="15"/>
        <v>57253</v>
      </c>
      <c r="D457" s="14">
        <f>'Income Tracker Data'!V455</f>
        <v>0</v>
      </c>
      <c r="E457" s="15">
        <f>'Expense Tracker Data'!V455</f>
        <v>0</v>
      </c>
      <c r="F457" s="15">
        <f t="shared" si="16"/>
        <v>0</v>
      </c>
      <c r="G457" s="15" t="str">
        <f>IF(AND(D457&gt;0,E457&gt;0),G456+Bottom_Line_Table[[#This Row],[Difference]],"N/A")</f>
        <v>N/A</v>
      </c>
    </row>
    <row r="458" spans="2:7" x14ac:dyDescent="0.3">
      <c r="B458" s="12">
        <v>57254</v>
      </c>
      <c r="C458" s="13">
        <f t="shared" si="15"/>
        <v>57284</v>
      </c>
      <c r="D458" s="14">
        <f>'Income Tracker Data'!V456</f>
        <v>0</v>
      </c>
      <c r="E458" s="15">
        <f>'Expense Tracker Data'!V456</f>
        <v>0</v>
      </c>
      <c r="F458" s="15">
        <f t="shared" si="16"/>
        <v>0</v>
      </c>
      <c r="G458" s="15" t="str">
        <f>IF(AND(D458&gt;0,E458&gt;0),G457+Bottom_Line_Table[[#This Row],[Difference]],"N/A")</f>
        <v>N/A</v>
      </c>
    </row>
    <row r="459" spans="2:7" x14ac:dyDescent="0.3">
      <c r="B459" s="12">
        <v>57285</v>
      </c>
      <c r="C459" s="13">
        <f t="shared" ref="C459:C522" si="17">EOMONTH(B459,0)</f>
        <v>57314</v>
      </c>
      <c r="D459" s="14">
        <f>'Income Tracker Data'!V457</f>
        <v>0</v>
      </c>
      <c r="E459" s="15">
        <f>'Expense Tracker Data'!V457</f>
        <v>0</v>
      </c>
      <c r="F459" s="15">
        <f t="shared" si="16"/>
        <v>0</v>
      </c>
      <c r="G459" s="15" t="str">
        <f>IF(AND(D459&gt;0,E459&gt;0),G458+Bottom_Line_Table[[#This Row],[Difference]],"N/A")</f>
        <v>N/A</v>
      </c>
    </row>
    <row r="460" spans="2:7" x14ac:dyDescent="0.3">
      <c r="B460" s="12">
        <v>57315</v>
      </c>
      <c r="C460" s="13">
        <f t="shared" si="17"/>
        <v>57345</v>
      </c>
      <c r="D460" s="14">
        <f>'Income Tracker Data'!V458</f>
        <v>0</v>
      </c>
      <c r="E460" s="15">
        <f>'Expense Tracker Data'!V458</f>
        <v>0</v>
      </c>
      <c r="F460" s="15">
        <f t="shared" si="16"/>
        <v>0</v>
      </c>
      <c r="G460" s="15" t="str">
        <f>IF(AND(D460&gt;0,E460&gt;0),G459+Bottom_Line_Table[[#This Row],[Difference]],"N/A")</f>
        <v>N/A</v>
      </c>
    </row>
    <row r="461" spans="2:7" x14ac:dyDescent="0.3">
      <c r="B461" s="12">
        <v>57346</v>
      </c>
      <c r="C461" s="13">
        <f t="shared" si="17"/>
        <v>57376</v>
      </c>
      <c r="D461" s="14">
        <f>'Income Tracker Data'!V459</f>
        <v>0</v>
      </c>
      <c r="E461" s="15">
        <f>'Expense Tracker Data'!V459</f>
        <v>0</v>
      </c>
      <c r="F461" s="15">
        <f t="shared" si="16"/>
        <v>0</v>
      </c>
      <c r="G461" s="15" t="str">
        <f>IF(AND(D461&gt;0,E461&gt;0),G460+Bottom_Line_Table[[#This Row],[Difference]],"N/A")</f>
        <v>N/A</v>
      </c>
    </row>
    <row r="462" spans="2:7" x14ac:dyDescent="0.3">
      <c r="B462" s="12">
        <v>57377</v>
      </c>
      <c r="C462" s="13">
        <f t="shared" si="17"/>
        <v>57404</v>
      </c>
      <c r="D462" s="14">
        <f>'Income Tracker Data'!V460</f>
        <v>0</v>
      </c>
      <c r="E462" s="15">
        <f>'Expense Tracker Data'!V460</f>
        <v>0</v>
      </c>
      <c r="F462" s="15">
        <f t="shared" si="16"/>
        <v>0</v>
      </c>
      <c r="G462" s="15" t="str">
        <f>IF(AND(D462&gt;0,E462&gt;0),G461+Bottom_Line_Table[[#This Row],[Difference]],"N/A")</f>
        <v>N/A</v>
      </c>
    </row>
    <row r="463" spans="2:7" x14ac:dyDescent="0.3">
      <c r="B463" s="12">
        <v>57405</v>
      </c>
      <c r="C463" s="13">
        <f t="shared" si="17"/>
        <v>57435</v>
      </c>
      <c r="D463" s="14">
        <f>'Income Tracker Data'!V461</f>
        <v>0</v>
      </c>
      <c r="E463" s="15">
        <f>'Expense Tracker Data'!V461</f>
        <v>0</v>
      </c>
      <c r="F463" s="15">
        <f t="shared" si="16"/>
        <v>0</v>
      </c>
      <c r="G463" s="15" t="str">
        <f>IF(AND(D463&gt;0,E463&gt;0),G462+Bottom_Line_Table[[#This Row],[Difference]],"N/A")</f>
        <v>N/A</v>
      </c>
    </row>
    <row r="464" spans="2:7" x14ac:dyDescent="0.3">
      <c r="B464" s="12">
        <v>57436</v>
      </c>
      <c r="C464" s="13">
        <f t="shared" si="17"/>
        <v>57465</v>
      </c>
      <c r="D464" s="14">
        <f>'Income Tracker Data'!V462</f>
        <v>0</v>
      </c>
      <c r="E464" s="15">
        <f>'Expense Tracker Data'!V462</f>
        <v>0</v>
      </c>
      <c r="F464" s="15">
        <f t="shared" si="16"/>
        <v>0</v>
      </c>
      <c r="G464" s="15" t="str">
        <f>IF(AND(D464&gt;0,E464&gt;0),G463+Bottom_Line_Table[[#This Row],[Difference]],"N/A")</f>
        <v>N/A</v>
      </c>
    </row>
    <row r="465" spans="2:7" x14ac:dyDescent="0.3">
      <c r="B465" s="12">
        <v>57466</v>
      </c>
      <c r="C465" s="13">
        <f t="shared" si="17"/>
        <v>57496</v>
      </c>
      <c r="D465" s="14">
        <f>'Income Tracker Data'!V463</f>
        <v>0</v>
      </c>
      <c r="E465" s="15">
        <f>'Expense Tracker Data'!V463</f>
        <v>0</v>
      </c>
      <c r="F465" s="15">
        <f t="shared" si="16"/>
        <v>0</v>
      </c>
      <c r="G465" s="15" t="str">
        <f>IF(AND(D465&gt;0,E465&gt;0),G464+Bottom_Line_Table[[#This Row],[Difference]],"N/A")</f>
        <v>N/A</v>
      </c>
    </row>
    <row r="466" spans="2:7" x14ac:dyDescent="0.3">
      <c r="B466" s="12">
        <v>57497</v>
      </c>
      <c r="C466" s="13">
        <f t="shared" si="17"/>
        <v>57526</v>
      </c>
      <c r="D466" s="14">
        <f>'Income Tracker Data'!V464</f>
        <v>0</v>
      </c>
      <c r="E466" s="15">
        <f>'Expense Tracker Data'!V464</f>
        <v>0</v>
      </c>
      <c r="F466" s="15">
        <f t="shared" si="16"/>
        <v>0</v>
      </c>
      <c r="G466" s="15" t="str">
        <f>IF(AND(D466&gt;0,E466&gt;0),G465+Bottom_Line_Table[[#This Row],[Difference]],"N/A")</f>
        <v>N/A</v>
      </c>
    </row>
    <row r="467" spans="2:7" x14ac:dyDescent="0.3">
      <c r="B467" s="12">
        <v>57527</v>
      </c>
      <c r="C467" s="13">
        <f t="shared" si="17"/>
        <v>57557</v>
      </c>
      <c r="D467" s="14">
        <f>'Income Tracker Data'!V465</f>
        <v>0</v>
      </c>
      <c r="E467" s="15">
        <f>'Expense Tracker Data'!V465</f>
        <v>0</v>
      </c>
      <c r="F467" s="15">
        <f t="shared" si="16"/>
        <v>0</v>
      </c>
      <c r="G467" s="15" t="str">
        <f>IF(AND(D467&gt;0,E467&gt;0),G466+Bottom_Line_Table[[#This Row],[Difference]],"N/A")</f>
        <v>N/A</v>
      </c>
    </row>
    <row r="468" spans="2:7" x14ac:dyDescent="0.3">
      <c r="B468" s="12">
        <v>57558</v>
      </c>
      <c r="C468" s="13">
        <f t="shared" si="17"/>
        <v>57588</v>
      </c>
      <c r="D468" s="14">
        <f>'Income Tracker Data'!V466</f>
        <v>0</v>
      </c>
      <c r="E468" s="15">
        <f>'Expense Tracker Data'!V466</f>
        <v>0</v>
      </c>
      <c r="F468" s="15">
        <f t="shared" si="16"/>
        <v>0</v>
      </c>
      <c r="G468" s="15" t="str">
        <f>IF(AND(D468&gt;0,E468&gt;0),G467+Bottom_Line_Table[[#This Row],[Difference]],"N/A")</f>
        <v>N/A</v>
      </c>
    </row>
    <row r="469" spans="2:7" x14ac:dyDescent="0.3">
      <c r="B469" s="12">
        <v>57589</v>
      </c>
      <c r="C469" s="13">
        <f t="shared" si="17"/>
        <v>57618</v>
      </c>
      <c r="D469" s="14">
        <f>'Income Tracker Data'!V467</f>
        <v>0</v>
      </c>
      <c r="E469" s="15">
        <f>'Expense Tracker Data'!V467</f>
        <v>0</v>
      </c>
      <c r="F469" s="15">
        <f t="shared" si="16"/>
        <v>0</v>
      </c>
      <c r="G469" s="15" t="str">
        <f>IF(AND(D469&gt;0,E469&gt;0),G468+Bottom_Line_Table[[#This Row],[Difference]],"N/A")</f>
        <v>N/A</v>
      </c>
    </row>
    <row r="470" spans="2:7" x14ac:dyDescent="0.3">
      <c r="B470" s="12">
        <v>57619</v>
      </c>
      <c r="C470" s="13">
        <f t="shared" si="17"/>
        <v>57649</v>
      </c>
      <c r="D470" s="14">
        <f>'Income Tracker Data'!V468</f>
        <v>0</v>
      </c>
      <c r="E470" s="15">
        <f>'Expense Tracker Data'!V468</f>
        <v>0</v>
      </c>
      <c r="F470" s="15">
        <f t="shared" si="16"/>
        <v>0</v>
      </c>
      <c r="G470" s="15" t="str">
        <f>IF(AND(D470&gt;0,E470&gt;0),G469+Bottom_Line_Table[[#This Row],[Difference]],"N/A")</f>
        <v>N/A</v>
      </c>
    </row>
    <row r="471" spans="2:7" x14ac:dyDescent="0.3">
      <c r="B471" s="12">
        <v>57650</v>
      </c>
      <c r="C471" s="13">
        <f t="shared" si="17"/>
        <v>57679</v>
      </c>
      <c r="D471" s="14">
        <f>'Income Tracker Data'!V469</f>
        <v>0</v>
      </c>
      <c r="E471" s="15">
        <f>'Expense Tracker Data'!V469</f>
        <v>0</v>
      </c>
      <c r="F471" s="15">
        <f t="shared" si="16"/>
        <v>0</v>
      </c>
      <c r="G471" s="15" t="str">
        <f>IF(AND(D471&gt;0,E471&gt;0),G470+Bottom_Line_Table[[#This Row],[Difference]],"N/A")</f>
        <v>N/A</v>
      </c>
    </row>
    <row r="472" spans="2:7" x14ac:dyDescent="0.3">
      <c r="B472" s="12">
        <v>57680</v>
      </c>
      <c r="C472" s="13">
        <f t="shared" si="17"/>
        <v>57710</v>
      </c>
      <c r="D472" s="14">
        <f>'Income Tracker Data'!V470</f>
        <v>0</v>
      </c>
      <c r="E472" s="15">
        <f>'Expense Tracker Data'!V470</f>
        <v>0</v>
      </c>
      <c r="F472" s="15">
        <f t="shared" si="16"/>
        <v>0</v>
      </c>
      <c r="G472" s="15" t="str">
        <f>IF(AND(D472&gt;0,E472&gt;0),G471+Bottom_Line_Table[[#This Row],[Difference]],"N/A")</f>
        <v>N/A</v>
      </c>
    </row>
    <row r="473" spans="2:7" x14ac:dyDescent="0.3">
      <c r="B473" s="12">
        <v>57711</v>
      </c>
      <c r="C473" s="13">
        <f t="shared" si="17"/>
        <v>57741</v>
      </c>
      <c r="D473" s="14">
        <f>'Income Tracker Data'!V471</f>
        <v>0</v>
      </c>
      <c r="E473" s="15">
        <f>'Expense Tracker Data'!V471</f>
        <v>0</v>
      </c>
      <c r="F473" s="15">
        <f t="shared" si="16"/>
        <v>0</v>
      </c>
      <c r="G473" s="15" t="str">
        <f>IF(AND(D473&gt;0,E473&gt;0),G472+Bottom_Line_Table[[#This Row],[Difference]],"N/A")</f>
        <v>N/A</v>
      </c>
    </row>
    <row r="474" spans="2:7" x14ac:dyDescent="0.3">
      <c r="B474" s="12">
        <v>57742</v>
      </c>
      <c r="C474" s="13">
        <f t="shared" si="17"/>
        <v>57769</v>
      </c>
      <c r="D474" s="14">
        <f>'Income Tracker Data'!V472</f>
        <v>0</v>
      </c>
      <c r="E474" s="15">
        <f>'Expense Tracker Data'!V472</f>
        <v>0</v>
      </c>
      <c r="F474" s="15">
        <f t="shared" si="16"/>
        <v>0</v>
      </c>
      <c r="G474" s="15" t="str">
        <f>IF(AND(D474&gt;0,E474&gt;0),G473+Bottom_Line_Table[[#This Row],[Difference]],"N/A")</f>
        <v>N/A</v>
      </c>
    </row>
    <row r="475" spans="2:7" x14ac:dyDescent="0.3">
      <c r="B475" s="12">
        <v>57770</v>
      </c>
      <c r="C475" s="13">
        <f t="shared" si="17"/>
        <v>57800</v>
      </c>
      <c r="D475" s="14">
        <f>'Income Tracker Data'!V473</f>
        <v>0</v>
      </c>
      <c r="E475" s="15">
        <f>'Expense Tracker Data'!V473</f>
        <v>0</v>
      </c>
      <c r="F475" s="15">
        <f t="shared" si="16"/>
        <v>0</v>
      </c>
      <c r="G475" s="15" t="str">
        <f>IF(AND(D475&gt;0,E475&gt;0),G474+Bottom_Line_Table[[#This Row],[Difference]],"N/A")</f>
        <v>N/A</v>
      </c>
    </row>
    <row r="476" spans="2:7" x14ac:dyDescent="0.3">
      <c r="B476" s="12">
        <v>57801</v>
      </c>
      <c r="C476" s="13">
        <f t="shared" si="17"/>
        <v>57830</v>
      </c>
      <c r="D476" s="14">
        <f>'Income Tracker Data'!V474</f>
        <v>0</v>
      </c>
      <c r="E476" s="15">
        <f>'Expense Tracker Data'!V474</f>
        <v>0</v>
      </c>
      <c r="F476" s="15">
        <f t="shared" si="16"/>
        <v>0</v>
      </c>
      <c r="G476" s="15" t="str">
        <f>IF(AND(D476&gt;0,E476&gt;0),G475+Bottom_Line_Table[[#This Row],[Difference]],"N/A")</f>
        <v>N/A</v>
      </c>
    </row>
    <row r="477" spans="2:7" x14ac:dyDescent="0.3">
      <c r="B477" s="12">
        <v>57831</v>
      </c>
      <c r="C477" s="13">
        <f t="shared" si="17"/>
        <v>57861</v>
      </c>
      <c r="D477" s="14">
        <f>'Income Tracker Data'!V475</f>
        <v>0</v>
      </c>
      <c r="E477" s="15">
        <f>'Expense Tracker Data'!V475</f>
        <v>0</v>
      </c>
      <c r="F477" s="15">
        <f t="shared" si="16"/>
        <v>0</v>
      </c>
      <c r="G477" s="15" t="str">
        <f>IF(AND(D477&gt;0,E477&gt;0),G476+Bottom_Line_Table[[#This Row],[Difference]],"N/A")</f>
        <v>N/A</v>
      </c>
    </row>
    <row r="478" spans="2:7" x14ac:dyDescent="0.3">
      <c r="B478" s="12">
        <v>57862</v>
      </c>
      <c r="C478" s="13">
        <f t="shared" si="17"/>
        <v>57891</v>
      </c>
      <c r="D478" s="14">
        <f>'Income Tracker Data'!V476</f>
        <v>0</v>
      </c>
      <c r="E478" s="15">
        <f>'Expense Tracker Data'!V476</f>
        <v>0</v>
      </c>
      <c r="F478" s="15">
        <f t="shared" si="16"/>
        <v>0</v>
      </c>
      <c r="G478" s="15" t="str">
        <f>IF(AND(D478&gt;0,E478&gt;0),G477+Bottom_Line_Table[[#This Row],[Difference]],"N/A")</f>
        <v>N/A</v>
      </c>
    </row>
    <row r="479" spans="2:7" x14ac:dyDescent="0.3">
      <c r="B479" s="12">
        <v>57892</v>
      </c>
      <c r="C479" s="13">
        <f t="shared" si="17"/>
        <v>57922</v>
      </c>
      <c r="D479" s="14">
        <f>'Income Tracker Data'!V477</f>
        <v>0</v>
      </c>
      <c r="E479" s="15">
        <f>'Expense Tracker Data'!V477</f>
        <v>0</v>
      </c>
      <c r="F479" s="15">
        <f t="shared" si="16"/>
        <v>0</v>
      </c>
      <c r="G479" s="15" t="str">
        <f>IF(AND(D479&gt;0,E479&gt;0),G478+Bottom_Line_Table[[#This Row],[Difference]],"N/A")</f>
        <v>N/A</v>
      </c>
    </row>
    <row r="480" spans="2:7" x14ac:dyDescent="0.3">
      <c r="B480" s="12">
        <v>57923</v>
      </c>
      <c r="C480" s="13">
        <f t="shared" si="17"/>
        <v>57953</v>
      </c>
      <c r="D480" s="14">
        <f>'Income Tracker Data'!V478</f>
        <v>0</v>
      </c>
      <c r="E480" s="15">
        <f>'Expense Tracker Data'!V478</f>
        <v>0</v>
      </c>
      <c r="F480" s="15">
        <f t="shared" si="16"/>
        <v>0</v>
      </c>
      <c r="G480" s="15" t="str">
        <f>IF(AND(D480&gt;0,E480&gt;0),G479+Bottom_Line_Table[[#This Row],[Difference]],"N/A")</f>
        <v>N/A</v>
      </c>
    </row>
    <row r="481" spans="2:7" x14ac:dyDescent="0.3">
      <c r="B481" s="12">
        <v>57954</v>
      </c>
      <c r="C481" s="13">
        <f t="shared" si="17"/>
        <v>57983</v>
      </c>
      <c r="D481" s="14">
        <f>'Income Tracker Data'!V479</f>
        <v>0</v>
      </c>
      <c r="E481" s="15">
        <f>'Expense Tracker Data'!V479</f>
        <v>0</v>
      </c>
      <c r="F481" s="15">
        <f t="shared" si="16"/>
        <v>0</v>
      </c>
      <c r="G481" s="15" t="str">
        <f>IF(AND(D481&gt;0,E481&gt;0),G480+Bottom_Line_Table[[#This Row],[Difference]],"N/A")</f>
        <v>N/A</v>
      </c>
    </row>
    <row r="482" spans="2:7" x14ac:dyDescent="0.3">
      <c r="B482" s="12">
        <v>57984</v>
      </c>
      <c r="C482" s="13">
        <f t="shared" si="17"/>
        <v>58014</v>
      </c>
      <c r="D482" s="14">
        <f>'Income Tracker Data'!V480</f>
        <v>0</v>
      </c>
      <c r="E482" s="15">
        <f>'Expense Tracker Data'!V480</f>
        <v>0</v>
      </c>
      <c r="F482" s="15">
        <f t="shared" si="16"/>
        <v>0</v>
      </c>
      <c r="G482" s="15" t="str">
        <f>IF(AND(D482&gt;0,E482&gt;0),G481+Bottom_Line_Table[[#This Row],[Difference]],"N/A")</f>
        <v>N/A</v>
      </c>
    </row>
    <row r="483" spans="2:7" x14ac:dyDescent="0.3">
      <c r="B483" s="12">
        <v>58015</v>
      </c>
      <c r="C483" s="13">
        <f t="shared" si="17"/>
        <v>58044</v>
      </c>
      <c r="D483" s="14">
        <f>'Income Tracker Data'!V481</f>
        <v>0</v>
      </c>
      <c r="E483" s="15">
        <f>'Expense Tracker Data'!V481</f>
        <v>0</v>
      </c>
      <c r="F483" s="15">
        <f t="shared" si="16"/>
        <v>0</v>
      </c>
      <c r="G483" s="15" t="str">
        <f>IF(AND(D483&gt;0,E483&gt;0),G482+Bottom_Line_Table[[#This Row],[Difference]],"N/A")</f>
        <v>N/A</v>
      </c>
    </row>
    <row r="484" spans="2:7" x14ac:dyDescent="0.3">
      <c r="B484" s="12">
        <v>58045</v>
      </c>
      <c r="C484" s="13">
        <f t="shared" si="17"/>
        <v>58075</v>
      </c>
      <c r="D484" s="14">
        <f>'Income Tracker Data'!V482</f>
        <v>0</v>
      </c>
      <c r="E484" s="15">
        <f>'Expense Tracker Data'!V482</f>
        <v>0</v>
      </c>
      <c r="F484" s="15">
        <f t="shared" si="16"/>
        <v>0</v>
      </c>
      <c r="G484" s="15" t="str">
        <f>IF(AND(D484&gt;0,E484&gt;0),G483+Bottom_Line_Table[[#This Row],[Difference]],"N/A")</f>
        <v>N/A</v>
      </c>
    </row>
    <row r="485" spans="2:7" x14ac:dyDescent="0.3">
      <c r="B485" s="12">
        <v>58076</v>
      </c>
      <c r="C485" s="13">
        <f t="shared" si="17"/>
        <v>58106</v>
      </c>
      <c r="D485" s="14">
        <f>'Income Tracker Data'!V483</f>
        <v>0</v>
      </c>
      <c r="E485" s="15">
        <f>'Expense Tracker Data'!V483</f>
        <v>0</v>
      </c>
      <c r="F485" s="15">
        <f t="shared" si="16"/>
        <v>0</v>
      </c>
      <c r="G485" s="15" t="str">
        <f>IF(AND(D485&gt;0,E485&gt;0),G484+Bottom_Line_Table[[#This Row],[Difference]],"N/A")</f>
        <v>N/A</v>
      </c>
    </row>
    <row r="486" spans="2:7" x14ac:dyDescent="0.3">
      <c r="B486" s="12">
        <v>58107</v>
      </c>
      <c r="C486" s="13">
        <f t="shared" si="17"/>
        <v>58134</v>
      </c>
      <c r="D486" s="14">
        <f>'Income Tracker Data'!V484</f>
        <v>0</v>
      </c>
      <c r="E486" s="15">
        <f>'Expense Tracker Data'!V484</f>
        <v>0</v>
      </c>
      <c r="F486" s="15">
        <f t="shared" si="16"/>
        <v>0</v>
      </c>
      <c r="G486" s="15" t="str">
        <f>IF(AND(D486&gt;0,E486&gt;0),G485+Bottom_Line_Table[[#This Row],[Difference]],"N/A")</f>
        <v>N/A</v>
      </c>
    </row>
    <row r="487" spans="2:7" x14ac:dyDescent="0.3">
      <c r="B487" s="12">
        <v>58135</v>
      </c>
      <c r="C487" s="13">
        <f t="shared" si="17"/>
        <v>58165</v>
      </c>
      <c r="D487" s="14">
        <f>'Income Tracker Data'!V485</f>
        <v>0</v>
      </c>
      <c r="E487" s="15">
        <f>'Expense Tracker Data'!V485</f>
        <v>0</v>
      </c>
      <c r="F487" s="15">
        <f t="shared" si="16"/>
        <v>0</v>
      </c>
      <c r="G487" s="15" t="str">
        <f>IF(AND(D487&gt;0,E487&gt;0),G486+Bottom_Line_Table[[#This Row],[Difference]],"N/A")</f>
        <v>N/A</v>
      </c>
    </row>
    <row r="488" spans="2:7" x14ac:dyDescent="0.3">
      <c r="B488" s="12">
        <v>58166</v>
      </c>
      <c r="C488" s="13">
        <f t="shared" si="17"/>
        <v>58195</v>
      </c>
      <c r="D488" s="14">
        <f>'Income Tracker Data'!V486</f>
        <v>0</v>
      </c>
      <c r="E488" s="15">
        <f>'Expense Tracker Data'!V486</f>
        <v>0</v>
      </c>
      <c r="F488" s="15">
        <f t="shared" si="16"/>
        <v>0</v>
      </c>
      <c r="G488" s="15" t="str">
        <f>IF(AND(D488&gt;0,E488&gt;0),G487+Bottom_Line_Table[[#This Row],[Difference]],"N/A")</f>
        <v>N/A</v>
      </c>
    </row>
    <row r="489" spans="2:7" x14ac:dyDescent="0.3">
      <c r="B489" s="12">
        <v>58196</v>
      </c>
      <c r="C489" s="13">
        <f t="shared" si="17"/>
        <v>58226</v>
      </c>
      <c r="D489" s="14">
        <f>'Income Tracker Data'!V487</f>
        <v>0</v>
      </c>
      <c r="E489" s="15">
        <f>'Expense Tracker Data'!V487</f>
        <v>0</v>
      </c>
      <c r="F489" s="15">
        <f t="shared" si="16"/>
        <v>0</v>
      </c>
      <c r="G489" s="15" t="str">
        <f>IF(AND(D489&gt;0,E489&gt;0),G488+Bottom_Line_Table[[#This Row],[Difference]],"N/A")</f>
        <v>N/A</v>
      </c>
    </row>
    <row r="490" spans="2:7" x14ac:dyDescent="0.3">
      <c r="B490" s="12">
        <v>58227</v>
      </c>
      <c r="C490" s="13">
        <f t="shared" si="17"/>
        <v>58256</v>
      </c>
      <c r="D490" s="14">
        <f>'Income Tracker Data'!V488</f>
        <v>0</v>
      </c>
      <c r="E490" s="15">
        <f>'Expense Tracker Data'!V488</f>
        <v>0</v>
      </c>
      <c r="F490" s="15">
        <f t="shared" si="16"/>
        <v>0</v>
      </c>
      <c r="G490" s="15" t="str">
        <f>IF(AND(D490&gt;0,E490&gt;0),G489+Bottom_Line_Table[[#This Row],[Difference]],"N/A")</f>
        <v>N/A</v>
      </c>
    </row>
    <row r="491" spans="2:7" x14ac:dyDescent="0.3">
      <c r="B491" s="12">
        <v>58257</v>
      </c>
      <c r="C491" s="13">
        <f t="shared" si="17"/>
        <v>58287</v>
      </c>
      <c r="D491" s="14">
        <f>'Income Tracker Data'!V489</f>
        <v>0</v>
      </c>
      <c r="E491" s="15">
        <f>'Expense Tracker Data'!V489</f>
        <v>0</v>
      </c>
      <c r="F491" s="15">
        <f t="shared" si="16"/>
        <v>0</v>
      </c>
      <c r="G491" s="15" t="str">
        <f>IF(AND(D491&gt;0,E491&gt;0),G490+Bottom_Line_Table[[#This Row],[Difference]],"N/A")</f>
        <v>N/A</v>
      </c>
    </row>
    <row r="492" spans="2:7" x14ac:dyDescent="0.3">
      <c r="B492" s="12">
        <v>58288</v>
      </c>
      <c r="C492" s="13">
        <f t="shared" si="17"/>
        <v>58318</v>
      </c>
      <c r="D492" s="14">
        <f>'Income Tracker Data'!V490</f>
        <v>0</v>
      </c>
      <c r="E492" s="15">
        <f>'Expense Tracker Data'!V490</f>
        <v>0</v>
      </c>
      <c r="F492" s="15">
        <f t="shared" si="16"/>
        <v>0</v>
      </c>
      <c r="G492" s="15" t="str">
        <f>IF(AND(D492&gt;0,E492&gt;0),G491+Bottom_Line_Table[[#This Row],[Difference]],"N/A")</f>
        <v>N/A</v>
      </c>
    </row>
    <row r="493" spans="2:7" x14ac:dyDescent="0.3">
      <c r="B493" s="12">
        <v>58319</v>
      </c>
      <c r="C493" s="13">
        <f t="shared" si="17"/>
        <v>58348</v>
      </c>
      <c r="D493" s="14">
        <f>'Income Tracker Data'!V491</f>
        <v>0</v>
      </c>
      <c r="E493" s="15">
        <f>'Expense Tracker Data'!V491</f>
        <v>0</v>
      </c>
      <c r="F493" s="15">
        <f t="shared" si="16"/>
        <v>0</v>
      </c>
      <c r="G493" s="15" t="str">
        <f>IF(AND(D493&gt;0,E493&gt;0),G492+Bottom_Line_Table[[#This Row],[Difference]],"N/A")</f>
        <v>N/A</v>
      </c>
    </row>
    <row r="494" spans="2:7" x14ac:dyDescent="0.3">
      <c r="B494" s="12">
        <v>58349</v>
      </c>
      <c r="C494" s="13">
        <f t="shared" si="17"/>
        <v>58379</v>
      </c>
      <c r="D494" s="14">
        <f>'Income Tracker Data'!V492</f>
        <v>0</v>
      </c>
      <c r="E494" s="15">
        <f>'Expense Tracker Data'!V492</f>
        <v>0</v>
      </c>
      <c r="F494" s="15">
        <f t="shared" si="16"/>
        <v>0</v>
      </c>
      <c r="G494" s="15" t="str">
        <f>IF(AND(D494&gt;0,E494&gt;0),G493+Bottom_Line_Table[[#This Row],[Difference]],"N/A")</f>
        <v>N/A</v>
      </c>
    </row>
    <row r="495" spans="2:7" x14ac:dyDescent="0.3">
      <c r="B495" s="12">
        <v>58380</v>
      </c>
      <c r="C495" s="13">
        <f t="shared" si="17"/>
        <v>58409</v>
      </c>
      <c r="D495" s="14">
        <f>'Income Tracker Data'!V493</f>
        <v>0</v>
      </c>
      <c r="E495" s="15">
        <f>'Expense Tracker Data'!V493</f>
        <v>0</v>
      </c>
      <c r="F495" s="15">
        <f t="shared" si="16"/>
        <v>0</v>
      </c>
      <c r="G495" s="15" t="str">
        <f>IF(AND(D495&gt;0,E495&gt;0),G494+Bottom_Line_Table[[#This Row],[Difference]],"N/A")</f>
        <v>N/A</v>
      </c>
    </row>
    <row r="496" spans="2:7" x14ac:dyDescent="0.3">
      <c r="B496" s="12">
        <v>58410</v>
      </c>
      <c r="C496" s="13">
        <f t="shared" si="17"/>
        <v>58440</v>
      </c>
      <c r="D496" s="14">
        <f>'Income Tracker Data'!V494</f>
        <v>0</v>
      </c>
      <c r="E496" s="15">
        <f>'Expense Tracker Data'!V494</f>
        <v>0</v>
      </c>
      <c r="F496" s="15">
        <f t="shared" si="16"/>
        <v>0</v>
      </c>
      <c r="G496" s="15" t="str">
        <f>IF(AND(D496&gt;0,E496&gt;0),G495+Bottom_Line_Table[[#This Row],[Difference]],"N/A")</f>
        <v>N/A</v>
      </c>
    </row>
    <row r="497" spans="2:7" x14ac:dyDescent="0.3">
      <c r="B497" s="12">
        <v>58441</v>
      </c>
      <c r="C497" s="13">
        <f t="shared" si="17"/>
        <v>58471</v>
      </c>
      <c r="D497" s="14">
        <f>'Income Tracker Data'!V495</f>
        <v>0</v>
      </c>
      <c r="E497" s="15">
        <f>'Expense Tracker Data'!V495</f>
        <v>0</v>
      </c>
      <c r="F497" s="15">
        <f t="shared" si="16"/>
        <v>0</v>
      </c>
      <c r="G497" s="15" t="str">
        <f>IF(AND(D497&gt;0,E497&gt;0),G496+Bottom_Line_Table[[#This Row],[Difference]],"N/A")</f>
        <v>N/A</v>
      </c>
    </row>
    <row r="498" spans="2:7" x14ac:dyDescent="0.3">
      <c r="B498" s="12">
        <v>58472</v>
      </c>
      <c r="C498" s="13">
        <f t="shared" si="17"/>
        <v>58500</v>
      </c>
      <c r="D498" s="14">
        <f>'Income Tracker Data'!V496</f>
        <v>0</v>
      </c>
      <c r="E498" s="15">
        <f>'Expense Tracker Data'!V496</f>
        <v>0</v>
      </c>
      <c r="F498" s="15">
        <f t="shared" si="16"/>
        <v>0</v>
      </c>
      <c r="G498" s="15" t="str">
        <f>IF(AND(D498&gt;0,E498&gt;0),G497+Bottom_Line_Table[[#This Row],[Difference]],"N/A")</f>
        <v>N/A</v>
      </c>
    </row>
    <row r="499" spans="2:7" x14ac:dyDescent="0.3">
      <c r="B499" s="12">
        <v>58501</v>
      </c>
      <c r="C499" s="13">
        <f t="shared" si="17"/>
        <v>58531</v>
      </c>
      <c r="D499" s="14">
        <f>'Income Tracker Data'!V497</f>
        <v>0</v>
      </c>
      <c r="E499" s="15">
        <f>'Expense Tracker Data'!V497</f>
        <v>0</v>
      </c>
      <c r="F499" s="15">
        <f t="shared" si="16"/>
        <v>0</v>
      </c>
      <c r="G499" s="15" t="str">
        <f>IF(AND(D499&gt;0,E499&gt;0),G498+Bottom_Line_Table[[#This Row],[Difference]],"N/A")</f>
        <v>N/A</v>
      </c>
    </row>
    <row r="500" spans="2:7" x14ac:dyDescent="0.3">
      <c r="B500" s="12">
        <v>58532</v>
      </c>
      <c r="C500" s="13">
        <f t="shared" si="17"/>
        <v>58561</v>
      </c>
      <c r="D500" s="14">
        <f>'Income Tracker Data'!V498</f>
        <v>0</v>
      </c>
      <c r="E500" s="15">
        <f>'Expense Tracker Data'!V498</f>
        <v>0</v>
      </c>
      <c r="F500" s="15">
        <f t="shared" si="16"/>
        <v>0</v>
      </c>
      <c r="G500" s="15" t="str">
        <f>IF(AND(D500&gt;0,E500&gt;0),G499+Bottom_Line_Table[[#This Row],[Difference]],"N/A")</f>
        <v>N/A</v>
      </c>
    </row>
    <row r="501" spans="2:7" x14ac:dyDescent="0.3">
      <c r="B501" s="12">
        <v>58562</v>
      </c>
      <c r="C501" s="13">
        <f t="shared" si="17"/>
        <v>58592</v>
      </c>
      <c r="D501" s="14">
        <f>'Income Tracker Data'!V499</f>
        <v>0</v>
      </c>
      <c r="E501" s="15">
        <f>'Expense Tracker Data'!V499</f>
        <v>0</v>
      </c>
      <c r="F501" s="15">
        <f t="shared" si="16"/>
        <v>0</v>
      </c>
      <c r="G501" s="15" t="str">
        <f>IF(AND(D501&gt;0,E501&gt;0),G500+Bottom_Line_Table[[#This Row],[Difference]],"N/A")</f>
        <v>N/A</v>
      </c>
    </row>
    <row r="502" spans="2:7" x14ac:dyDescent="0.3">
      <c r="B502" s="12">
        <v>58593</v>
      </c>
      <c r="C502" s="13">
        <f t="shared" si="17"/>
        <v>58622</v>
      </c>
      <c r="D502" s="14">
        <f>'Income Tracker Data'!V500</f>
        <v>0</v>
      </c>
      <c r="E502" s="15">
        <f>'Expense Tracker Data'!V500</f>
        <v>0</v>
      </c>
      <c r="F502" s="15">
        <f t="shared" si="16"/>
        <v>0</v>
      </c>
      <c r="G502" s="15" t="str">
        <f>IF(AND(D502&gt;0,E502&gt;0),G501+Bottom_Line_Table[[#This Row],[Difference]],"N/A")</f>
        <v>N/A</v>
      </c>
    </row>
    <row r="503" spans="2:7" x14ac:dyDescent="0.3">
      <c r="B503" s="12">
        <v>58623</v>
      </c>
      <c r="C503" s="13">
        <f t="shared" si="17"/>
        <v>58653</v>
      </c>
      <c r="D503" s="14">
        <f>'Income Tracker Data'!V501</f>
        <v>0</v>
      </c>
      <c r="E503" s="15">
        <f>'Expense Tracker Data'!V501</f>
        <v>0</v>
      </c>
      <c r="F503" s="15">
        <f t="shared" si="16"/>
        <v>0</v>
      </c>
      <c r="G503" s="15" t="str">
        <f>IF(AND(D503&gt;0,E503&gt;0),G502+Bottom_Line_Table[[#This Row],[Difference]],"N/A")</f>
        <v>N/A</v>
      </c>
    </row>
    <row r="504" spans="2:7" x14ac:dyDescent="0.3">
      <c r="B504" s="12">
        <v>58654</v>
      </c>
      <c r="C504" s="13">
        <f t="shared" si="17"/>
        <v>58684</v>
      </c>
      <c r="D504" s="14">
        <f>'Income Tracker Data'!V502</f>
        <v>0</v>
      </c>
      <c r="E504" s="15">
        <f>'Expense Tracker Data'!V502</f>
        <v>0</v>
      </c>
      <c r="F504" s="15">
        <f t="shared" si="16"/>
        <v>0</v>
      </c>
      <c r="G504" s="15" t="str">
        <f>IF(AND(D504&gt;0,E504&gt;0),G503+Bottom_Line_Table[[#This Row],[Difference]],"N/A")</f>
        <v>N/A</v>
      </c>
    </row>
    <row r="505" spans="2:7" x14ac:dyDescent="0.3">
      <c r="B505" s="12">
        <v>58685</v>
      </c>
      <c r="C505" s="13">
        <f t="shared" si="17"/>
        <v>58714</v>
      </c>
      <c r="D505" s="14">
        <f>'Income Tracker Data'!V503</f>
        <v>0</v>
      </c>
      <c r="E505" s="15">
        <f>'Expense Tracker Data'!V503</f>
        <v>0</v>
      </c>
      <c r="F505" s="15">
        <f t="shared" si="16"/>
        <v>0</v>
      </c>
      <c r="G505" s="15" t="str">
        <f>IF(AND(D505&gt;0,E505&gt;0),G504+Bottom_Line_Table[[#This Row],[Difference]],"N/A")</f>
        <v>N/A</v>
      </c>
    </row>
    <row r="506" spans="2:7" x14ac:dyDescent="0.3">
      <c r="B506" s="12">
        <v>58715</v>
      </c>
      <c r="C506" s="13">
        <f t="shared" si="17"/>
        <v>58745</v>
      </c>
      <c r="D506" s="14">
        <f>'Income Tracker Data'!V504</f>
        <v>0</v>
      </c>
      <c r="E506" s="15">
        <f>'Expense Tracker Data'!V504</f>
        <v>0</v>
      </c>
      <c r="F506" s="15">
        <f t="shared" si="16"/>
        <v>0</v>
      </c>
      <c r="G506" s="15" t="str">
        <f>IF(AND(D506&gt;0,E506&gt;0),G505+Bottom_Line_Table[[#This Row],[Difference]],"N/A")</f>
        <v>N/A</v>
      </c>
    </row>
    <row r="507" spans="2:7" x14ac:dyDescent="0.3">
      <c r="B507" s="12">
        <v>58746</v>
      </c>
      <c r="C507" s="13">
        <f t="shared" si="17"/>
        <v>58775</v>
      </c>
      <c r="D507" s="14">
        <f>'Income Tracker Data'!V505</f>
        <v>0</v>
      </c>
      <c r="E507" s="15">
        <f>'Expense Tracker Data'!V505</f>
        <v>0</v>
      </c>
      <c r="F507" s="15">
        <f t="shared" si="16"/>
        <v>0</v>
      </c>
      <c r="G507" s="15" t="str">
        <f>IF(AND(D507&gt;0,E507&gt;0),G506+Bottom_Line_Table[[#This Row],[Difference]],"N/A")</f>
        <v>N/A</v>
      </c>
    </row>
    <row r="508" spans="2:7" x14ac:dyDescent="0.3">
      <c r="B508" s="12">
        <v>58776</v>
      </c>
      <c r="C508" s="13">
        <f t="shared" si="17"/>
        <v>58806</v>
      </c>
      <c r="D508" s="14">
        <f>'Income Tracker Data'!V506</f>
        <v>0</v>
      </c>
      <c r="E508" s="15">
        <f>'Expense Tracker Data'!V506</f>
        <v>0</v>
      </c>
      <c r="F508" s="15">
        <f t="shared" si="16"/>
        <v>0</v>
      </c>
      <c r="G508" s="15" t="str">
        <f>IF(AND(D508&gt;0,E508&gt;0),G507+Bottom_Line_Table[[#This Row],[Difference]],"N/A")</f>
        <v>N/A</v>
      </c>
    </row>
    <row r="509" spans="2:7" x14ac:dyDescent="0.3">
      <c r="B509" s="12">
        <v>58807</v>
      </c>
      <c r="C509" s="13">
        <f t="shared" si="17"/>
        <v>58837</v>
      </c>
      <c r="D509" s="14">
        <f>'Income Tracker Data'!V507</f>
        <v>0</v>
      </c>
      <c r="E509" s="15">
        <f>'Expense Tracker Data'!V507</f>
        <v>0</v>
      </c>
      <c r="F509" s="15">
        <f t="shared" si="16"/>
        <v>0</v>
      </c>
      <c r="G509" s="15" t="str">
        <f>IF(AND(D509&gt;0,E509&gt;0),G508+Bottom_Line_Table[[#This Row],[Difference]],"N/A")</f>
        <v>N/A</v>
      </c>
    </row>
    <row r="510" spans="2:7" x14ac:dyDescent="0.3">
      <c r="B510" s="12">
        <v>58838</v>
      </c>
      <c r="C510" s="13">
        <f t="shared" si="17"/>
        <v>58865</v>
      </c>
      <c r="D510" s="14">
        <f>'Income Tracker Data'!V508</f>
        <v>0</v>
      </c>
      <c r="E510" s="15">
        <f>'Expense Tracker Data'!V508</f>
        <v>0</v>
      </c>
      <c r="F510" s="15">
        <f t="shared" si="16"/>
        <v>0</v>
      </c>
      <c r="G510" s="15" t="str">
        <f>IF(AND(D510&gt;0,E510&gt;0),G509+Bottom_Line_Table[[#This Row],[Difference]],"N/A")</f>
        <v>N/A</v>
      </c>
    </row>
    <row r="511" spans="2:7" x14ac:dyDescent="0.3">
      <c r="B511" s="12">
        <v>58866</v>
      </c>
      <c r="C511" s="13">
        <f t="shared" si="17"/>
        <v>58896</v>
      </c>
      <c r="D511" s="14">
        <f>'Income Tracker Data'!V509</f>
        <v>0</v>
      </c>
      <c r="E511" s="15">
        <f>'Expense Tracker Data'!V509</f>
        <v>0</v>
      </c>
      <c r="F511" s="15">
        <f t="shared" si="16"/>
        <v>0</v>
      </c>
      <c r="G511" s="15" t="str">
        <f>IF(AND(D511&gt;0,E511&gt;0),G510+Bottom_Line_Table[[#This Row],[Difference]],"N/A")</f>
        <v>N/A</v>
      </c>
    </row>
    <row r="512" spans="2:7" x14ac:dyDescent="0.3">
      <c r="B512" s="12">
        <v>58897</v>
      </c>
      <c r="C512" s="13">
        <f t="shared" si="17"/>
        <v>58926</v>
      </c>
      <c r="D512" s="14">
        <f>'Income Tracker Data'!V510</f>
        <v>0</v>
      </c>
      <c r="E512" s="15">
        <f>'Expense Tracker Data'!V510</f>
        <v>0</v>
      </c>
      <c r="F512" s="15">
        <f t="shared" si="16"/>
        <v>0</v>
      </c>
      <c r="G512" s="15" t="str">
        <f>IF(AND(D512&gt;0,E512&gt;0),G511+Bottom_Line_Table[[#This Row],[Difference]],"N/A")</f>
        <v>N/A</v>
      </c>
    </row>
    <row r="513" spans="2:7" x14ac:dyDescent="0.3">
      <c r="B513" s="12">
        <v>58927</v>
      </c>
      <c r="C513" s="13">
        <f t="shared" si="17"/>
        <v>58957</v>
      </c>
      <c r="D513" s="14">
        <f>'Income Tracker Data'!V511</f>
        <v>0</v>
      </c>
      <c r="E513" s="15">
        <f>'Expense Tracker Data'!V511</f>
        <v>0</v>
      </c>
      <c r="F513" s="15">
        <f t="shared" si="16"/>
        <v>0</v>
      </c>
      <c r="G513" s="15" t="str">
        <f>IF(AND(D513&gt;0,E513&gt;0),G512+Bottom_Line_Table[[#This Row],[Difference]],"N/A")</f>
        <v>N/A</v>
      </c>
    </row>
    <row r="514" spans="2:7" x14ac:dyDescent="0.3">
      <c r="B514" s="12">
        <v>58958</v>
      </c>
      <c r="C514" s="13">
        <f t="shared" si="17"/>
        <v>58987</v>
      </c>
      <c r="D514" s="14">
        <f>'Income Tracker Data'!V512</f>
        <v>0</v>
      </c>
      <c r="E514" s="15">
        <f>'Expense Tracker Data'!V512</f>
        <v>0</v>
      </c>
      <c r="F514" s="15">
        <f t="shared" si="16"/>
        <v>0</v>
      </c>
      <c r="G514" s="15" t="str">
        <f>IF(AND(D514&gt;0,E514&gt;0),G513+Bottom_Line_Table[[#This Row],[Difference]],"N/A")</f>
        <v>N/A</v>
      </c>
    </row>
    <row r="515" spans="2:7" x14ac:dyDescent="0.3">
      <c r="B515" s="12">
        <v>58988</v>
      </c>
      <c r="C515" s="13">
        <f t="shared" si="17"/>
        <v>59018</v>
      </c>
      <c r="D515" s="14">
        <f>'Income Tracker Data'!V513</f>
        <v>0</v>
      </c>
      <c r="E515" s="15">
        <f>'Expense Tracker Data'!V513</f>
        <v>0</v>
      </c>
      <c r="F515" s="15">
        <f t="shared" si="16"/>
        <v>0</v>
      </c>
      <c r="G515" s="15" t="str">
        <f>IF(AND(D515&gt;0,E515&gt;0),G514+Bottom_Line_Table[[#This Row],[Difference]],"N/A")</f>
        <v>N/A</v>
      </c>
    </row>
    <row r="516" spans="2:7" x14ac:dyDescent="0.3">
      <c r="B516" s="12">
        <v>59019</v>
      </c>
      <c r="C516" s="13">
        <f t="shared" si="17"/>
        <v>59049</v>
      </c>
      <c r="D516" s="14">
        <f>'Income Tracker Data'!V514</f>
        <v>0</v>
      </c>
      <c r="E516" s="15">
        <f>'Expense Tracker Data'!V514</f>
        <v>0</v>
      </c>
      <c r="F516" s="15">
        <f t="shared" si="16"/>
        <v>0</v>
      </c>
      <c r="G516" s="15" t="str">
        <f>IF(AND(D516&gt;0,E516&gt;0),G515+Bottom_Line_Table[[#This Row],[Difference]],"N/A")</f>
        <v>N/A</v>
      </c>
    </row>
    <row r="517" spans="2:7" x14ac:dyDescent="0.3">
      <c r="B517" s="12">
        <v>59050</v>
      </c>
      <c r="C517" s="13">
        <f t="shared" si="17"/>
        <v>59079</v>
      </c>
      <c r="D517" s="14">
        <f>'Income Tracker Data'!V515</f>
        <v>0</v>
      </c>
      <c r="E517" s="15">
        <f>'Expense Tracker Data'!V515</f>
        <v>0</v>
      </c>
      <c r="F517" s="15">
        <f t="shared" si="16"/>
        <v>0</v>
      </c>
      <c r="G517" s="15" t="str">
        <f>IF(AND(D517&gt;0,E517&gt;0),G516+Bottom_Line_Table[[#This Row],[Difference]],"N/A")</f>
        <v>N/A</v>
      </c>
    </row>
    <row r="518" spans="2:7" x14ac:dyDescent="0.3">
      <c r="B518" s="12">
        <v>59080</v>
      </c>
      <c r="C518" s="13">
        <f t="shared" si="17"/>
        <v>59110</v>
      </c>
      <c r="D518" s="14">
        <f>'Income Tracker Data'!V516</f>
        <v>0</v>
      </c>
      <c r="E518" s="15">
        <f>'Expense Tracker Data'!V516</f>
        <v>0</v>
      </c>
      <c r="F518" s="15">
        <f t="shared" ref="F518:F581" si="18">D518-E518</f>
        <v>0</v>
      </c>
      <c r="G518" s="15" t="str">
        <f>IF(AND(D518&gt;0,E518&gt;0),G517+Bottom_Line_Table[[#This Row],[Difference]],"N/A")</f>
        <v>N/A</v>
      </c>
    </row>
    <row r="519" spans="2:7" x14ac:dyDescent="0.3">
      <c r="B519" s="12">
        <v>59111</v>
      </c>
      <c r="C519" s="13">
        <f t="shared" si="17"/>
        <v>59140</v>
      </c>
      <c r="D519" s="14">
        <f>'Income Tracker Data'!V517</f>
        <v>0</v>
      </c>
      <c r="E519" s="15">
        <f>'Expense Tracker Data'!V517</f>
        <v>0</v>
      </c>
      <c r="F519" s="15">
        <f t="shared" si="18"/>
        <v>0</v>
      </c>
      <c r="G519" s="15" t="str">
        <f>IF(AND(D519&gt;0,E519&gt;0),G518+Bottom_Line_Table[[#This Row],[Difference]],"N/A")</f>
        <v>N/A</v>
      </c>
    </row>
    <row r="520" spans="2:7" x14ac:dyDescent="0.3">
      <c r="B520" s="12">
        <v>59141</v>
      </c>
      <c r="C520" s="13">
        <f t="shared" si="17"/>
        <v>59171</v>
      </c>
      <c r="D520" s="14">
        <f>'Income Tracker Data'!V518</f>
        <v>0</v>
      </c>
      <c r="E520" s="15">
        <f>'Expense Tracker Data'!V518</f>
        <v>0</v>
      </c>
      <c r="F520" s="15">
        <f t="shared" si="18"/>
        <v>0</v>
      </c>
      <c r="G520" s="15" t="str">
        <f>IF(AND(D520&gt;0,E520&gt;0),G519+Bottom_Line_Table[[#This Row],[Difference]],"N/A")</f>
        <v>N/A</v>
      </c>
    </row>
    <row r="521" spans="2:7" x14ac:dyDescent="0.3">
      <c r="B521" s="12">
        <v>59172</v>
      </c>
      <c r="C521" s="13">
        <f t="shared" si="17"/>
        <v>59202</v>
      </c>
      <c r="D521" s="14">
        <f>'Income Tracker Data'!V519</f>
        <v>0</v>
      </c>
      <c r="E521" s="15">
        <f>'Expense Tracker Data'!V519</f>
        <v>0</v>
      </c>
      <c r="F521" s="15">
        <f t="shared" si="18"/>
        <v>0</v>
      </c>
      <c r="G521" s="15" t="str">
        <f>IF(AND(D521&gt;0,E521&gt;0),G520+Bottom_Line_Table[[#This Row],[Difference]],"N/A")</f>
        <v>N/A</v>
      </c>
    </row>
    <row r="522" spans="2:7" x14ac:dyDescent="0.3">
      <c r="B522" s="12">
        <v>59203</v>
      </c>
      <c r="C522" s="13">
        <f t="shared" si="17"/>
        <v>59230</v>
      </c>
      <c r="D522" s="14">
        <f>'Income Tracker Data'!V520</f>
        <v>0</v>
      </c>
      <c r="E522" s="15">
        <f>'Expense Tracker Data'!V520</f>
        <v>0</v>
      </c>
      <c r="F522" s="15">
        <f t="shared" si="18"/>
        <v>0</v>
      </c>
      <c r="G522" s="15" t="str">
        <f>IF(AND(D522&gt;0,E522&gt;0),G521+Bottom_Line_Table[[#This Row],[Difference]],"N/A")</f>
        <v>N/A</v>
      </c>
    </row>
    <row r="523" spans="2:7" x14ac:dyDescent="0.3">
      <c r="B523" s="12">
        <v>59231</v>
      </c>
      <c r="C523" s="13">
        <f t="shared" ref="C523:C586" si="19">EOMONTH(B523,0)</f>
        <v>59261</v>
      </c>
      <c r="D523" s="14">
        <f>'Income Tracker Data'!V521</f>
        <v>0</v>
      </c>
      <c r="E523" s="15">
        <f>'Expense Tracker Data'!V521</f>
        <v>0</v>
      </c>
      <c r="F523" s="15">
        <f t="shared" si="18"/>
        <v>0</v>
      </c>
      <c r="G523" s="15" t="str">
        <f>IF(AND(D523&gt;0,E523&gt;0),G522+Bottom_Line_Table[[#This Row],[Difference]],"N/A")</f>
        <v>N/A</v>
      </c>
    </row>
    <row r="524" spans="2:7" x14ac:dyDescent="0.3">
      <c r="B524" s="12">
        <v>59262</v>
      </c>
      <c r="C524" s="13">
        <f t="shared" si="19"/>
        <v>59291</v>
      </c>
      <c r="D524" s="14">
        <f>'Income Tracker Data'!V522</f>
        <v>0</v>
      </c>
      <c r="E524" s="15">
        <f>'Expense Tracker Data'!V522</f>
        <v>0</v>
      </c>
      <c r="F524" s="15">
        <f t="shared" si="18"/>
        <v>0</v>
      </c>
      <c r="G524" s="15" t="str">
        <f>IF(AND(D524&gt;0,E524&gt;0),G523+Bottom_Line_Table[[#This Row],[Difference]],"N/A")</f>
        <v>N/A</v>
      </c>
    </row>
    <row r="525" spans="2:7" x14ac:dyDescent="0.3">
      <c r="B525" s="12">
        <v>59292</v>
      </c>
      <c r="C525" s="13">
        <f t="shared" si="19"/>
        <v>59322</v>
      </c>
      <c r="D525" s="14">
        <f>'Income Tracker Data'!V523</f>
        <v>0</v>
      </c>
      <c r="E525" s="15">
        <f>'Expense Tracker Data'!V523</f>
        <v>0</v>
      </c>
      <c r="F525" s="15">
        <f t="shared" si="18"/>
        <v>0</v>
      </c>
      <c r="G525" s="15" t="str">
        <f>IF(AND(D525&gt;0,E525&gt;0),G524+Bottom_Line_Table[[#This Row],[Difference]],"N/A")</f>
        <v>N/A</v>
      </c>
    </row>
    <row r="526" spans="2:7" x14ac:dyDescent="0.3">
      <c r="B526" s="12">
        <v>59323</v>
      </c>
      <c r="C526" s="13">
        <f t="shared" si="19"/>
        <v>59352</v>
      </c>
      <c r="D526" s="14">
        <f>'Income Tracker Data'!V524</f>
        <v>0</v>
      </c>
      <c r="E526" s="15">
        <f>'Expense Tracker Data'!V524</f>
        <v>0</v>
      </c>
      <c r="F526" s="15">
        <f t="shared" si="18"/>
        <v>0</v>
      </c>
      <c r="G526" s="15" t="str">
        <f>IF(AND(D526&gt;0,E526&gt;0),G525+Bottom_Line_Table[[#This Row],[Difference]],"N/A")</f>
        <v>N/A</v>
      </c>
    </row>
    <row r="527" spans="2:7" x14ac:dyDescent="0.3">
      <c r="B527" s="12">
        <v>59353</v>
      </c>
      <c r="C527" s="13">
        <f t="shared" si="19"/>
        <v>59383</v>
      </c>
      <c r="D527" s="14">
        <f>'Income Tracker Data'!V525</f>
        <v>0</v>
      </c>
      <c r="E527" s="15">
        <f>'Expense Tracker Data'!V525</f>
        <v>0</v>
      </c>
      <c r="F527" s="15">
        <f t="shared" si="18"/>
        <v>0</v>
      </c>
      <c r="G527" s="15" t="str">
        <f>IF(AND(D527&gt;0,E527&gt;0),G526+Bottom_Line_Table[[#This Row],[Difference]],"N/A")</f>
        <v>N/A</v>
      </c>
    </row>
    <row r="528" spans="2:7" x14ac:dyDescent="0.3">
      <c r="B528" s="12">
        <v>59384</v>
      </c>
      <c r="C528" s="13">
        <f t="shared" si="19"/>
        <v>59414</v>
      </c>
      <c r="D528" s="14">
        <f>'Income Tracker Data'!V526</f>
        <v>0</v>
      </c>
      <c r="E528" s="15">
        <f>'Expense Tracker Data'!V526</f>
        <v>0</v>
      </c>
      <c r="F528" s="15">
        <f t="shared" si="18"/>
        <v>0</v>
      </c>
      <c r="G528" s="15" t="str">
        <f>IF(AND(D528&gt;0,E528&gt;0),G527+Bottom_Line_Table[[#This Row],[Difference]],"N/A")</f>
        <v>N/A</v>
      </c>
    </row>
    <row r="529" spans="2:7" x14ac:dyDescent="0.3">
      <c r="B529" s="12">
        <v>59415</v>
      </c>
      <c r="C529" s="13">
        <f t="shared" si="19"/>
        <v>59444</v>
      </c>
      <c r="D529" s="14">
        <f>'Income Tracker Data'!V527</f>
        <v>0</v>
      </c>
      <c r="E529" s="15">
        <f>'Expense Tracker Data'!V527</f>
        <v>0</v>
      </c>
      <c r="F529" s="15">
        <f t="shared" si="18"/>
        <v>0</v>
      </c>
      <c r="G529" s="15" t="str">
        <f>IF(AND(D529&gt;0,E529&gt;0),G528+Bottom_Line_Table[[#This Row],[Difference]],"N/A")</f>
        <v>N/A</v>
      </c>
    </row>
    <row r="530" spans="2:7" x14ac:dyDescent="0.3">
      <c r="B530" s="12">
        <v>59445</v>
      </c>
      <c r="C530" s="13">
        <f t="shared" si="19"/>
        <v>59475</v>
      </c>
      <c r="D530" s="14">
        <f>'Income Tracker Data'!V528</f>
        <v>0</v>
      </c>
      <c r="E530" s="15">
        <f>'Expense Tracker Data'!V528</f>
        <v>0</v>
      </c>
      <c r="F530" s="15">
        <f t="shared" si="18"/>
        <v>0</v>
      </c>
      <c r="G530" s="15" t="str">
        <f>IF(AND(D530&gt;0,E530&gt;0),G529+Bottom_Line_Table[[#This Row],[Difference]],"N/A")</f>
        <v>N/A</v>
      </c>
    </row>
    <row r="531" spans="2:7" x14ac:dyDescent="0.3">
      <c r="B531" s="12">
        <v>59476</v>
      </c>
      <c r="C531" s="13">
        <f t="shared" si="19"/>
        <v>59505</v>
      </c>
      <c r="D531" s="14">
        <f>'Income Tracker Data'!V529</f>
        <v>0</v>
      </c>
      <c r="E531" s="15">
        <f>'Expense Tracker Data'!V529</f>
        <v>0</v>
      </c>
      <c r="F531" s="15">
        <f t="shared" si="18"/>
        <v>0</v>
      </c>
      <c r="G531" s="15" t="str">
        <f>IF(AND(D531&gt;0,E531&gt;0),G530+Bottom_Line_Table[[#This Row],[Difference]],"N/A")</f>
        <v>N/A</v>
      </c>
    </row>
    <row r="532" spans="2:7" x14ac:dyDescent="0.3">
      <c r="B532" s="12">
        <v>59506</v>
      </c>
      <c r="C532" s="13">
        <f t="shared" si="19"/>
        <v>59536</v>
      </c>
      <c r="D532" s="14">
        <f>'Income Tracker Data'!V530</f>
        <v>0</v>
      </c>
      <c r="E532" s="15">
        <f>'Expense Tracker Data'!V530</f>
        <v>0</v>
      </c>
      <c r="F532" s="15">
        <f t="shared" si="18"/>
        <v>0</v>
      </c>
      <c r="G532" s="15" t="str">
        <f>IF(AND(D532&gt;0,E532&gt;0),G531+Bottom_Line_Table[[#This Row],[Difference]],"N/A")</f>
        <v>N/A</v>
      </c>
    </row>
    <row r="533" spans="2:7" x14ac:dyDescent="0.3">
      <c r="B533" s="12">
        <v>59537</v>
      </c>
      <c r="C533" s="13">
        <f t="shared" si="19"/>
        <v>59567</v>
      </c>
      <c r="D533" s="14">
        <f>'Income Tracker Data'!V531</f>
        <v>0</v>
      </c>
      <c r="E533" s="15">
        <f>'Expense Tracker Data'!V531</f>
        <v>0</v>
      </c>
      <c r="F533" s="15">
        <f t="shared" si="18"/>
        <v>0</v>
      </c>
      <c r="G533" s="15" t="str">
        <f>IF(AND(D533&gt;0,E533&gt;0),G532+Bottom_Line_Table[[#This Row],[Difference]],"N/A")</f>
        <v>N/A</v>
      </c>
    </row>
    <row r="534" spans="2:7" x14ac:dyDescent="0.3">
      <c r="B534" s="12">
        <v>59568</v>
      </c>
      <c r="C534" s="13">
        <f t="shared" si="19"/>
        <v>59595</v>
      </c>
      <c r="D534" s="14">
        <f>'Income Tracker Data'!V532</f>
        <v>0</v>
      </c>
      <c r="E534" s="15">
        <f>'Expense Tracker Data'!V532</f>
        <v>0</v>
      </c>
      <c r="F534" s="15">
        <f t="shared" si="18"/>
        <v>0</v>
      </c>
      <c r="G534" s="15" t="str">
        <f>IF(AND(D534&gt;0,E534&gt;0),G533+Bottom_Line_Table[[#This Row],[Difference]],"N/A")</f>
        <v>N/A</v>
      </c>
    </row>
    <row r="535" spans="2:7" x14ac:dyDescent="0.3">
      <c r="B535" s="12">
        <v>59596</v>
      </c>
      <c r="C535" s="13">
        <f t="shared" si="19"/>
        <v>59626</v>
      </c>
      <c r="D535" s="14">
        <f>'Income Tracker Data'!V533</f>
        <v>0</v>
      </c>
      <c r="E535" s="15">
        <f>'Expense Tracker Data'!V533</f>
        <v>0</v>
      </c>
      <c r="F535" s="15">
        <f t="shared" si="18"/>
        <v>0</v>
      </c>
      <c r="G535" s="15" t="str">
        <f>IF(AND(D535&gt;0,E535&gt;0),G534+Bottom_Line_Table[[#This Row],[Difference]],"N/A")</f>
        <v>N/A</v>
      </c>
    </row>
    <row r="536" spans="2:7" x14ac:dyDescent="0.3">
      <c r="B536" s="12">
        <v>59627</v>
      </c>
      <c r="C536" s="13">
        <f t="shared" si="19"/>
        <v>59656</v>
      </c>
      <c r="D536" s="14">
        <f>'Income Tracker Data'!V534</f>
        <v>0</v>
      </c>
      <c r="E536" s="15">
        <f>'Expense Tracker Data'!V534</f>
        <v>0</v>
      </c>
      <c r="F536" s="15">
        <f t="shared" si="18"/>
        <v>0</v>
      </c>
      <c r="G536" s="15" t="str">
        <f>IF(AND(D536&gt;0,E536&gt;0),G535+Bottom_Line_Table[[#This Row],[Difference]],"N/A")</f>
        <v>N/A</v>
      </c>
    </row>
    <row r="537" spans="2:7" x14ac:dyDescent="0.3">
      <c r="B537" s="12">
        <v>59657</v>
      </c>
      <c r="C537" s="13">
        <f t="shared" si="19"/>
        <v>59687</v>
      </c>
      <c r="D537" s="14">
        <f>'Income Tracker Data'!V535</f>
        <v>0</v>
      </c>
      <c r="E537" s="15">
        <f>'Expense Tracker Data'!V535</f>
        <v>0</v>
      </c>
      <c r="F537" s="15">
        <f t="shared" si="18"/>
        <v>0</v>
      </c>
      <c r="G537" s="15" t="str">
        <f>IF(AND(D537&gt;0,E537&gt;0),G536+Bottom_Line_Table[[#This Row],[Difference]],"N/A")</f>
        <v>N/A</v>
      </c>
    </row>
    <row r="538" spans="2:7" x14ac:dyDescent="0.3">
      <c r="B538" s="12">
        <v>59688</v>
      </c>
      <c r="C538" s="13">
        <f t="shared" si="19"/>
        <v>59717</v>
      </c>
      <c r="D538" s="14">
        <f>'Income Tracker Data'!V536</f>
        <v>0</v>
      </c>
      <c r="E538" s="15">
        <f>'Expense Tracker Data'!V536</f>
        <v>0</v>
      </c>
      <c r="F538" s="15">
        <f t="shared" si="18"/>
        <v>0</v>
      </c>
      <c r="G538" s="15" t="str">
        <f>IF(AND(D538&gt;0,E538&gt;0),G537+Bottom_Line_Table[[#This Row],[Difference]],"N/A")</f>
        <v>N/A</v>
      </c>
    </row>
    <row r="539" spans="2:7" x14ac:dyDescent="0.3">
      <c r="B539" s="12">
        <v>59718</v>
      </c>
      <c r="C539" s="13">
        <f t="shared" si="19"/>
        <v>59748</v>
      </c>
      <c r="D539" s="14">
        <f>'Income Tracker Data'!V537</f>
        <v>0</v>
      </c>
      <c r="E539" s="15">
        <f>'Expense Tracker Data'!V537</f>
        <v>0</v>
      </c>
      <c r="F539" s="15">
        <f t="shared" si="18"/>
        <v>0</v>
      </c>
      <c r="G539" s="15" t="str">
        <f>IF(AND(D539&gt;0,E539&gt;0),G538+Bottom_Line_Table[[#This Row],[Difference]],"N/A")</f>
        <v>N/A</v>
      </c>
    </row>
    <row r="540" spans="2:7" x14ac:dyDescent="0.3">
      <c r="B540" s="12">
        <v>59749</v>
      </c>
      <c r="C540" s="13">
        <f t="shared" si="19"/>
        <v>59779</v>
      </c>
      <c r="D540" s="14">
        <f>'Income Tracker Data'!V538</f>
        <v>0</v>
      </c>
      <c r="E540" s="15">
        <f>'Expense Tracker Data'!V538</f>
        <v>0</v>
      </c>
      <c r="F540" s="15">
        <f t="shared" si="18"/>
        <v>0</v>
      </c>
      <c r="G540" s="15" t="str">
        <f>IF(AND(D540&gt;0,E540&gt;0),G539+Bottom_Line_Table[[#This Row],[Difference]],"N/A")</f>
        <v>N/A</v>
      </c>
    </row>
    <row r="541" spans="2:7" x14ac:dyDescent="0.3">
      <c r="B541" s="12">
        <v>59780</v>
      </c>
      <c r="C541" s="13">
        <f t="shared" si="19"/>
        <v>59809</v>
      </c>
      <c r="D541" s="14">
        <f>'Income Tracker Data'!V539</f>
        <v>0</v>
      </c>
      <c r="E541" s="15">
        <f>'Expense Tracker Data'!V539</f>
        <v>0</v>
      </c>
      <c r="F541" s="15">
        <f t="shared" si="18"/>
        <v>0</v>
      </c>
      <c r="G541" s="15" t="str">
        <f>IF(AND(D541&gt;0,E541&gt;0),G540+Bottom_Line_Table[[#This Row],[Difference]],"N/A")</f>
        <v>N/A</v>
      </c>
    </row>
    <row r="542" spans="2:7" x14ac:dyDescent="0.3">
      <c r="B542" s="12">
        <v>59810</v>
      </c>
      <c r="C542" s="13">
        <f t="shared" si="19"/>
        <v>59840</v>
      </c>
      <c r="D542" s="14">
        <f>'Income Tracker Data'!V540</f>
        <v>0</v>
      </c>
      <c r="E542" s="15">
        <f>'Expense Tracker Data'!V540</f>
        <v>0</v>
      </c>
      <c r="F542" s="15">
        <f t="shared" si="18"/>
        <v>0</v>
      </c>
      <c r="G542" s="15" t="str">
        <f>IF(AND(D542&gt;0,E542&gt;0),G541+Bottom_Line_Table[[#This Row],[Difference]],"N/A")</f>
        <v>N/A</v>
      </c>
    </row>
    <row r="543" spans="2:7" x14ac:dyDescent="0.3">
      <c r="B543" s="12">
        <v>59841</v>
      </c>
      <c r="C543" s="13">
        <f t="shared" si="19"/>
        <v>59870</v>
      </c>
      <c r="D543" s="14">
        <f>'Income Tracker Data'!V541</f>
        <v>0</v>
      </c>
      <c r="E543" s="15">
        <f>'Expense Tracker Data'!V541</f>
        <v>0</v>
      </c>
      <c r="F543" s="15">
        <f t="shared" si="18"/>
        <v>0</v>
      </c>
      <c r="G543" s="15" t="str">
        <f>IF(AND(D543&gt;0,E543&gt;0),G542+Bottom_Line_Table[[#This Row],[Difference]],"N/A")</f>
        <v>N/A</v>
      </c>
    </row>
    <row r="544" spans="2:7" x14ac:dyDescent="0.3">
      <c r="B544" s="12">
        <v>59871</v>
      </c>
      <c r="C544" s="13">
        <f t="shared" si="19"/>
        <v>59901</v>
      </c>
      <c r="D544" s="14">
        <f>'Income Tracker Data'!V542</f>
        <v>0</v>
      </c>
      <c r="E544" s="15">
        <f>'Expense Tracker Data'!V542</f>
        <v>0</v>
      </c>
      <c r="F544" s="15">
        <f t="shared" si="18"/>
        <v>0</v>
      </c>
      <c r="G544" s="15" t="str">
        <f>IF(AND(D544&gt;0,E544&gt;0),G543+Bottom_Line_Table[[#This Row],[Difference]],"N/A")</f>
        <v>N/A</v>
      </c>
    </row>
    <row r="545" spans="2:7" x14ac:dyDescent="0.3">
      <c r="B545" s="12">
        <v>59902</v>
      </c>
      <c r="C545" s="13">
        <f t="shared" si="19"/>
        <v>59932</v>
      </c>
      <c r="D545" s="14">
        <f>'Income Tracker Data'!V543</f>
        <v>0</v>
      </c>
      <c r="E545" s="15">
        <f>'Expense Tracker Data'!V543</f>
        <v>0</v>
      </c>
      <c r="F545" s="15">
        <f t="shared" si="18"/>
        <v>0</v>
      </c>
      <c r="G545" s="15" t="str">
        <f>IF(AND(D545&gt;0,E545&gt;0),G544+Bottom_Line_Table[[#This Row],[Difference]],"N/A")</f>
        <v>N/A</v>
      </c>
    </row>
    <row r="546" spans="2:7" x14ac:dyDescent="0.3">
      <c r="B546" s="12">
        <v>59933</v>
      </c>
      <c r="C546" s="13">
        <f t="shared" si="19"/>
        <v>59961</v>
      </c>
      <c r="D546" s="14">
        <f>'Income Tracker Data'!V544</f>
        <v>0</v>
      </c>
      <c r="E546" s="15">
        <f>'Expense Tracker Data'!V544</f>
        <v>0</v>
      </c>
      <c r="F546" s="15">
        <f t="shared" si="18"/>
        <v>0</v>
      </c>
      <c r="G546" s="15" t="str">
        <f>IF(AND(D546&gt;0,E546&gt;0),G545+Bottom_Line_Table[[#This Row],[Difference]],"N/A")</f>
        <v>N/A</v>
      </c>
    </row>
    <row r="547" spans="2:7" x14ac:dyDescent="0.3">
      <c r="B547" s="12">
        <v>59962</v>
      </c>
      <c r="C547" s="13">
        <f t="shared" si="19"/>
        <v>59992</v>
      </c>
      <c r="D547" s="14">
        <f>'Income Tracker Data'!V545</f>
        <v>0</v>
      </c>
      <c r="E547" s="15">
        <f>'Expense Tracker Data'!V545</f>
        <v>0</v>
      </c>
      <c r="F547" s="15">
        <f t="shared" si="18"/>
        <v>0</v>
      </c>
      <c r="G547" s="15" t="str">
        <f>IF(AND(D547&gt;0,E547&gt;0),G546+Bottom_Line_Table[[#This Row],[Difference]],"N/A")</f>
        <v>N/A</v>
      </c>
    </row>
    <row r="548" spans="2:7" x14ac:dyDescent="0.3">
      <c r="B548" s="12">
        <v>59993</v>
      </c>
      <c r="C548" s="13">
        <f t="shared" si="19"/>
        <v>60022</v>
      </c>
      <c r="D548" s="14">
        <f>'Income Tracker Data'!V546</f>
        <v>0</v>
      </c>
      <c r="E548" s="15">
        <f>'Expense Tracker Data'!V546</f>
        <v>0</v>
      </c>
      <c r="F548" s="15">
        <f t="shared" si="18"/>
        <v>0</v>
      </c>
      <c r="G548" s="15" t="str">
        <f>IF(AND(D548&gt;0,E548&gt;0),G547+Bottom_Line_Table[[#This Row],[Difference]],"N/A")</f>
        <v>N/A</v>
      </c>
    </row>
    <row r="549" spans="2:7" x14ac:dyDescent="0.3">
      <c r="B549" s="12">
        <v>60023</v>
      </c>
      <c r="C549" s="13">
        <f t="shared" si="19"/>
        <v>60053</v>
      </c>
      <c r="D549" s="14">
        <f>'Income Tracker Data'!V547</f>
        <v>0</v>
      </c>
      <c r="E549" s="15">
        <f>'Expense Tracker Data'!V547</f>
        <v>0</v>
      </c>
      <c r="F549" s="15">
        <f t="shared" si="18"/>
        <v>0</v>
      </c>
      <c r="G549" s="15" t="str">
        <f>IF(AND(D549&gt;0,E549&gt;0),G548+Bottom_Line_Table[[#This Row],[Difference]],"N/A")</f>
        <v>N/A</v>
      </c>
    </row>
    <row r="550" spans="2:7" x14ac:dyDescent="0.3">
      <c r="B550" s="12">
        <v>60054</v>
      </c>
      <c r="C550" s="13">
        <f t="shared" si="19"/>
        <v>60083</v>
      </c>
      <c r="D550" s="14">
        <f>'Income Tracker Data'!V548</f>
        <v>0</v>
      </c>
      <c r="E550" s="15">
        <f>'Expense Tracker Data'!V548</f>
        <v>0</v>
      </c>
      <c r="F550" s="15">
        <f t="shared" si="18"/>
        <v>0</v>
      </c>
      <c r="G550" s="15" t="str">
        <f>IF(AND(D550&gt;0,E550&gt;0),G549+Bottom_Line_Table[[#This Row],[Difference]],"N/A")</f>
        <v>N/A</v>
      </c>
    </row>
    <row r="551" spans="2:7" x14ac:dyDescent="0.3">
      <c r="B551" s="12">
        <v>60084</v>
      </c>
      <c r="C551" s="13">
        <f t="shared" si="19"/>
        <v>60114</v>
      </c>
      <c r="D551" s="14">
        <f>'Income Tracker Data'!V549</f>
        <v>0</v>
      </c>
      <c r="E551" s="15">
        <f>'Expense Tracker Data'!V549</f>
        <v>0</v>
      </c>
      <c r="F551" s="15">
        <f t="shared" si="18"/>
        <v>0</v>
      </c>
      <c r="G551" s="15" t="str">
        <f>IF(AND(D551&gt;0,E551&gt;0),G550+Bottom_Line_Table[[#This Row],[Difference]],"N/A")</f>
        <v>N/A</v>
      </c>
    </row>
    <row r="552" spans="2:7" x14ac:dyDescent="0.3">
      <c r="B552" s="12">
        <v>60115</v>
      </c>
      <c r="C552" s="13">
        <f t="shared" si="19"/>
        <v>60145</v>
      </c>
      <c r="D552" s="14">
        <f>'Income Tracker Data'!V550</f>
        <v>0</v>
      </c>
      <c r="E552" s="15">
        <f>'Expense Tracker Data'!V550</f>
        <v>0</v>
      </c>
      <c r="F552" s="15">
        <f t="shared" si="18"/>
        <v>0</v>
      </c>
      <c r="G552" s="15" t="str">
        <f>IF(AND(D552&gt;0,E552&gt;0),G551+Bottom_Line_Table[[#This Row],[Difference]],"N/A")</f>
        <v>N/A</v>
      </c>
    </row>
    <row r="553" spans="2:7" x14ac:dyDescent="0.3">
      <c r="B553" s="12">
        <v>60146</v>
      </c>
      <c r="C553" s="13">
        <f t="shared" si="19"/>
        <v>60175</v>
      </c>
      <c r="D553" s="14">
        <f>'Income Tracker Data'!V551</f>
        <v>0</v>
      </c>
      <c r="E553" s="15">
        <f>'Expense Tracker Data'!V551</f>
        <v>0</v>
      </c>
      <c r="F553" s="15">
        <f t="shared" si="18"/>
        <v>0</v>
      </c>
      <c r="G553" s="15" t="str">
        <f>IF(AND(D553&gt;0,E553&gt;0),G552+Bottom_Line_Table[[#This Row],[Difference]],"N/A")</f>
        <v>N/A</v>
      </c>
    </row>
    <row r="554" spans="2:7" x14ac:dyDescent="0.3">
      <c r="B554" s="12">
        <v>60176</v>
      </c>
      <c r="C554" s="13">
        <f t="shared" si="19"/>
        <v>60206</v>
      </c>
      <c r="D554" s="14">
        <f>'Income Tracker Data'!V552</f>
        <v>0</v>
      </c>
      <c r="E554" s="15">
        <f>'Expense Tracker Data'!V552</f>
        <v>0</v>
      </c>
      <c r="F554" s="15">
        <f t="shared" si="18"/>
        <v>0</v>
      </c>
      <c r="G554" s="15" t="str">
        <f>IF(AND(D554&gt;0,E554&gt;0),G553+Bottom_Line_Table[[#This Row],[Difference]],"N/A")</f>
        <v>N/A</v>
      </c>
    </row>
    <row r="555" spans="2:7" x14ac:dyDescent="0.3">
      <c r="B555" s="12">
        <v>60207</v>
      </c>
      <c r="C555" s="13">
        <f t="shared" si="19"/>
        <v>60236</v>
      </c>
      <c r="D555" s="14">
        <f>'Income Tracker Data'!V553</f>
        <v>0</v>
      </c>
      <c r="E555" s="15">
        <f>'Expense Tracker Data'!V553</f>
        <v>0</v>
      </c>
      <c r="F555" s="15">
        <f t="shared" si="18"/>
        <v>0</v>
      </c>
      <c r="G555" s="15" t="str">
        <f>IF(AND(D555&gt;0,E555&gt;0),G554+Bottom_Line_Table[[#This Row],[Difference]],"N/A")</f>
        <v>N/A</v>
      </c>
    </row>
    <row r="556" spans="2:7" x14ac:dyDescent="0.3">
      <c r="B556" s="12">
        <v>60237</v>
      </c>
      <c r="C556" s="13">
        <f t="shared" si="19"/>
        <v>60267</v>
      </c>
      <c r="D556" s="14">
        <f>'Income Tracker Data'!V554</f>
        <v>0</v>
      </c>
      <c r="E556" s="15">
        <f>'Expense Tracker Data'!V554</f>
        <v>0</v>
      </c>
      <c r="F556" s="15">
        <f t="shared" si="18"/>
        <v>0</v>
      </c>
      <c r="G556" s="15" t="str">
        <f>IF(AND(D556&gt;0,E556&gt;0),G555+Bottom_Line_Table[[#This Row],[Difference]],"N/A")</f>
        <v>N/A</v>
      </c>
    </row>
    <row r="557" spans="2:7" x14ac:dyDescent="0.3">
      <c r="B557" s="12">
        <v>60268</v>
      </c>
      <c r="C557" s="13">
        <f t="shared" si="19"/>
        <v>60298</v>
      </c>
      <c r="D557" s="14">
        <f>'Income Tracker Data'!V555</f>
        <v>0</v>
      </c>
      <c r="E557" s="15">
        <f>'Expense Tracker Data'!V555</f>
        <v>0</v>
      </c>
      <c r="F557" s="15">
        <f t="shared" si="18"/>
        <v>0</v>
      </c>
      <c r="G557" s="15" t="str">
        <f>IF(AND(D557&gt;0,E557&gt;0),G556+Bottom_Line_Table[[#This Row],[Difference]],"N/A")</f>
        <v>N/A</v>
      </c>
    </row>
    <row r="558" spans="2:7" x14ac:dyDescent="0.3">
      <c r="B558" s="12">
        <v>60299</v>
      </c>
      <c r="C558" s="13">
        <f t="shared" si="19"/>
        <v>60326</v>
      </c>
      <c r="D558" s="14">
        <f>'Income Tracker Data'!V556</f>
        <v>0</v>
      </c>
      <c r="E558" s="15">
        <f>'Expense Tracker Data'!V556</f>
        <v>0</v>
      </c>
      <c r="F558" s="15">
        <f t="shared" si="18"/>
        <v>0</v>
      </c>
      <c r="G558" s="15" t="str">
        <f>IF(AND(D558&gt;0,E558&gt;0),G557+Bottom_Line_Table[[#This Row],[Difference]],"N/A")</f>
        <v>N/A</v>
      </c>
    </row>
    <row r="559" spans="2:7" x14ac:dyDescent="0.3">
      <c r="B559" s="12">
        <v>60327</v>
      </c>
      <c r="C559" s="13">
        <f t="shared" si="19"/>
        <v>60357</v>
      </c>
      <c r="D559" s="14">
        <f>'Income Tracker Data'!V557</f>
        <v>0</v>
      </c>
      <c r="E559" s="15">
        <f>'Expense Tracker Data'!V557</f>
        <v>0</v>
      </c>
      <c r="F559" s="15">
        <f t="shared" si="18"/>
        <v>0</v>
      </c>
      <c r="G559" s="15" t="str">
        <f>IF(AND(D559&gt;0,E559&gt;0),G558+Bottom_Line_Table[[#This Row],[Difference]],"N/A")</f>
        <v>N/A</v>
      </c>
    </row>
    <row r="560" spans="2:7" x14ac:dyDescent="0.3">
      <c r="B560" s="12">
        <v>60358</v>
      </c>
      <c r="C560" s="13">
        <f t="shared" si="19"/>
        <v>60387</v>
      </c>
      <c r="D560" s="14">
        <f>'Income Tracker Data'!V558</f>
        <v>0</v>
      </c>
      <c r="E560" s="15">
        <f>'Expense Tracker Data'!V558</f>
        <v>0</v>
      </c>
      <c r="F560" s="15">
        <f t="shared" si="18"/>
        <v>0</v>
      </c>
      <c r="G560" s="15" t="str">
        <f>IF(AND(D560&gt;0,E560&gt;0),G559+Bottom_Line_Table[[#This Row],[Difference]],"N/A")</f>
        <v>N/A</v>
      </c>
    </row>
    <row r="561" spans="2:7" x14ac:dyDescent="0.3">
      <c r="B561" s="12">
        <v>60388</v>
      </c>
      <c r="C561" s="13">
        <f t="shared" si="19"/>
        <v>60418</v>
      </c>
      <c r="D561" s="14">
        <f>'Income Tracker Data'!V559</f>
        <v>0</v>
      </c>
      <c r="E561" s="15">
        <f>'Expense Tracker Data'!V559</f>
        <v>0</v>
      </c>
      <c r="F561" s="15">
        <f t="shared" si="18"/>
        <v>0</v>
      </c>
      <c r="G561" s="15" t="str">
        <f>IF(AND(D561&gt;0,E561&gt;0),G560+Bottom_Line_Table[[#This Row],[Difference]],"N/A")</f>
        <v>N/A</v>
      </c>
    </row>
    <row r="562" spans="2:7" x14ac:dyDescent="0.3">
      <c r="B562" s="12">
        <v>60419</v>
      </c>
      <c r="C562" s="13">
        <f t="shared" si="19"/>
        <v>60448</v>
      </c>
      <c r="D562" s="14">
        <f>'Income Tracker Data'!V560</f>
        <v>0</v>
      </c>
      <c r="E562" s="15">
        <f>'Expense Tracker Data'!V560</f>
        <v>0</v>
      </c>
      <c r="F562" s="15">
        <f t="shared" si="18"/>
        <v>0</v>
      </c>
      <c r="G562" s="15" t="str">
        <f>IF(AND(D562&gt;0,E562&gt;0),G561+Bottom_Line_Table[[#This Row],[Difference]],"N/A")</f>
        <v>N/A</v>
      </c>
    </row>
    <row r="563" spans="2:7" x14ac:dyDescent="0.3">
      <c r="B563" s="12">
        <v>60449</v>
      </c>
      <c r="C563" s="13">
        <f t="shared" si="19"/>
        <v>60479</v>
      </c>
      <c r="D563" s="14">
        <f>'Income Tracker Data'!V561</f>
        <v>0</v>
      </c>
      <c r="E563" s="15">
        <f>'Expense Tracker Data'!V561</f>
        <v>0</v>
      </c>
      <c r="F563" s="15">
        <f t="shared" si="18"/>
        <v>0</v>
      </c>
      <c r="G563" s="15" t="str">
        <f>IF(AND(D563&gt;0,E563&gt;0),G562+Bottom_Line_Table[[#This Row],[Difference]],"N/A")</f>
        <v>N/A</v>
      </c>
    </row>
    <row r="564" spans="2:7" x14ac:dyDescent="0.3">
      <c r="B564" s="12">
        <v>60480</v>
      </c>
      <c r="C564" s="13">
        <f t="shared" si="19"/>
        <v>60510</v>
      </c>
      <c r="D564" s="14">
        <f>'Income Tracker Data'!V562</f>
        <v>0</v>
      </c>
      <c r="E564" s="15">
        <f>'Expense Tracker Data'!V562</f>
        <v>0</v>
      </c>
      <c r="F564" s="15">
        <f t="shared" si="18"/>
        <v>0</v>
      </c>
      <c r="G564" s="15" t="str">
        <f>IF(AND(D564&gt;0,E564&gt;0),G563+Bottom_Line_Table[[#This Row],[Difference]],"N/A")</f>
        <v>N/A</v>
      </c>
    </row>
    <row r="565" spans="2:7" x14ac:dyDescent="0.3">
      <c r="B565" s="12">
        <v>60511</v>
      </c>
      <c r="C565" s="13">
        <f t="shared" si="19"/>
        <v>60540</v>
      </c>
      <c r="D565" s="14">
        <f>'Income Tracker Data'!V563</f>
        <v>0</v>
      </c>
      <c r="E565" s="15">
        <f>'Expense Tracker Data'!V563</f>
        <v>0</v>
      </c>
      <c r="F565" s="15">
        <f t="shared" si="18"/>
        <v>0</v>
      </c>
      <c r="G565" s="15" t="str">
        <f>IF(AND(D565&gt;0,E565&gt;0),G564+Bottom_Line_Table[[#This Row],[Difference]],"N/A")</f>
        <v>N/A</v>
      </c>
    </row>
    <row r="566" spans="2:7" x14ac:dyDescent="0.3">
      <c r="B566" s="12">
        <v>60541</v>
      </c>
      <c r="C566" s="13">
        <f t="shared" si="19"/>
        <v>60571</v>
      </c>
      <c r="D566" s="14">
        <f>'Income Tracker Data'!V564</f>
        <v>0</v>
      </c>
      <c r="E566" s="15">
        <f>'Expense Tracker Data'!V564</f>
        <v>0</v>
      </c>
      <c r="F566" s="15">
        <f t="shared" si="18"/>
        <v>0</v>
      </c>
      <c r="G566" s="15" t="str">
        <f>IF(AND(D566&gt;0,E566&gt;0),G565+Bottom_Line_Table[[#This Row],[Difference]],"N/A")</f>
        <v>N/A</v>
      </c>
    </row>
    <row r="567" spans="2:7" x14ac:dyDescent="0.3">
      <c r="B567" s="12">
        <v>60572</v>
      </c>
      <c r="C567" s="13">
        <f t="shared" si="19"/>
        <v>60601</v>
      </c>
      <c r="D567" s="14">
        <f>'Income Tracker Data'!V565</f>
        <v>0</v>
      </c>
      <c r="E567" s="15">
        <f>'Expense Tracker Data'!V565</f>
        <v>0</v>
      </c>
      <c r="F567" s="15">
        <f t="shared" si="18"/>
        <v>0</v>
      </c>
      <c r="G567" s="15" t="str">
        <f>IF(AND(D567&gt;0,E567&gt;0),G566+Bottom_Line_Table[[#This Row],[Difference]],"N/A")</f>
        <v>N/A</v>
      </c>
    </row>
    <row r="568" spans="2:7" x14ac:dyDescent="0.3">
      <c r="B568" s="12">
        <v>60602</v>
      </c>
      <c r="C568" s="13">
        <f t="shared" si="19"/>
        <v>60632</v>
      </c>
      <c r="D568" s="14">
        <f>'Income Tracker Data'!V566</f>
        <v>0</v>
      </c>
      <c r="E568" s="15">
        <f>'Expense Tracker Data'!V566</f>
        <v>0</v>
      </c>
      <c r="F568" s="15">
        <f t="shared" si="18"/>
        <v>0</v>
      </c>
      <c r="G568" s="15" t="str">
        <f>IF(AND(D568&gt;0,E568&gt;0),G567+Bottom_Line_Table[[#This Row],[Difference]],"N/A")</f>
        <v>N/A</v>
      </c>
    </row>
    <row r="569" spans="2:7" x14ac:dyDescent="0.3">
      <c r="B569" s="12">
        <v>60633</v>
      </c>
      <c r="C569" s="13">
        <f t="shared" si="19"/>
        <v>60663</v>
      </c>
      <c r="D569" s="14">
        <f>'Income Tracker Data'!V567</f>
        <v>0</v>
      </c>
      <c r="E569" s="15">
        <f>'Expense Tracker Data'!V567</f>
        <v>0</v>
      </c>
      <c r="F569" s="15">
        <f t="shared" si="18"/>
        <v>0</v>
      </c>
      <c r="G569" s="15" t="str">
        <f>IF(AND(D569&gt;0,E569&gt;0),G568+Bottom_Line_Table[[#This Row],[Difference]],"N/A")</f>
        <v>N/A</v>
      </c>
    </row>
    <row r="570" spans="2:7" x14ac:dyDescent="0.3">
      <c r="B570" s="12">
        <v>60664</v>
      </c>
      <c r="C570" s="13">
        <f t="shared" si="19"/>
        <v>60691</v>
      </c>
      <c r="D570" s="14">
        <f>'Income Tracker Data'!V568</f>
        <v>0</v>
      </c>
      <c r="E570" s="15">
        <f>'Expense Tracker Data'!V568</f>
        <v>0</v>
      </c>
      <c r="F570" s="15">
        <f t="shared" si="18"/>
        <v>0</v>
      </c>
      <c r="G570" s="15" t="str">
        <f>IF(AND(D570&gt;0,E570&gt;0),G569+Bottom_Line_Table[[#This Row],[Difference]],"N/A")</f>
        <v>N/A</v>
      </c>
    </row>
    <row r="571" spans="2:7" x14ac:dyDescent="0.3">
      <c r="B571" s="12">
        <v>60692</v>
      </c>
      <c r="C571" s="13">
        <f t="shared" si="19"/>
        <v>60722</v>
      </c>
      <c r="D571" s="14">
        <f>'Income Tracker Data'!V569</f>
        <v>0</v>
      </c>
      <c r="E571" s="15">
        <f>'Expense Tracker Data'!V569</f>
        <v>0</v>
      </c>
      <c r="F571" s="15">
        <f t="shared" si="18"/>
        <v>0</v>
      </c>
      <c r="G571" s="15" t="str">
        <f>IF(AND(D571&gt;0,E571&gt;0),G570+Bottom_Line_Table[[#This Row],[Difference]],"N/A")</f>
        <v>N/A</v>
      </c>
    </row>
    <row r="572" spans="2:7" x14ac:dyDescent="0.3">
      <c r="B572" s="12">
        <v>60723</v>
      </c>
      <c r="C572" s="13">
        <f t="shared" si="19"/>
        <v>60752</v>
      </c>
      <c r="D572" s="14">
        <f>'Income Tracker Data'!V570</f>
        <v>0</v>
      </c>
      <c r="E572" s="15">
        <f>'Expense Tracker Data'!V570</f>
        <v>0</v>
      </c>
      <c r="F572" s="15">
        <f t="shared" si="18"/>
        <v>0</v>
      </c>
      <c r="G572" s="15" t="str">
        <f>IF(AND(D572&gt;0,E572&gt;0),G571+Bottom_Line_Table[[#This Row],[Difference]],"N/A")</f>
        <v>N/A</v>
      </c>
    </row>
    <row r="573" spans="2:7" x14ac:dyDescent="0.3">
      <c r="B573" s="12">
        <v>60753</v>
      </c>
      <c r="C573" s="13">
        <f t="shared" si="19"/>
        <v>60783</v>
      </c>
      <c r="D573" s="14">
        <f>'Income Tracker Data'!V571</f>
        <v>0</v>
      </c>
      <c r="E573" s="15">
        <f>'Expense Tracker Data'!V571</f>
        <v>0</v>
      </c>
      <c r="F573" s="15">
        <f t="shared" si="18"/>
        <v>0</v>
      </c>
      <c r="G573" s="15" t="str">
        <f>IF(AND(D573&gt;0,E573&gt;0),G572+Bottom_Line_Table[[#This Row],[Difference]],"N/A")</f>
        <v>N/A</v>
      </c>
    </row>
    <row r="574" spans="2:7" x14ac:dyDescent="0.3">
      <c r="B574" s="12">
        <v>60784</v>
      </c>
      <c r="C574" s="13">
        <f t="shared" si="19"/>
        <v>60813</v>
      </c>
      <c r="D574" s="14">
        <f>'Income Tracker Data'!V572</f>
        <v>0</v>
      </c>
      <c r="E574" s="15">
        <f>'Expense Tracker Data'!V572</f>
        <v>0</v>
      </c>
      <c r="F574" s="15">
        <f t="shared" si="18"/>
        <v>0</v>
      </c>
      <c r="G574" s="15" t="str">
        <f>IF(AND(D574&gt;0,E574&gt;0),G573+Bottom_Line_Table[[#This Row],[Difference]],"N/A")</f>
        <v>N/A</v>
      </c>
    </row>
    <row r="575" spans="2:7" x14ac:dyDescent="0.3">
      <c r="B575" s="12">
        <v>60814</v>
      </c>
      <c r="C575" s="13">
        <f t="shared" si="19"/>
        <v>60844</v>
      </c>
      <c r="D575" s="14">
        <f>'Income Tracker Data'!V573</f>
        <v>0</v>
      </c>
      <c r="E575" s="15">
        <f>'Expense Tracker Data'!V573</f>
        <v>0</v>
      </c>
      <c r="F575" s="15">
        <f t="shared" si="18"/>
        <v>0</v>
      </c>
      <c r="G575" s="15" t="str">
        <f>IF(AND(D575&gt;0,E575&gt;0),G574+Bottom_Line_Table[[#This Row],[Difference]],"N/A")</f>
        <v>N/A</v>
      </c>
    </row>
    <row r="576" spans="2:7" x14ac:dyDescent="0.3">
      <c r="B576" s="12">
        <v>60845</v>
      </c>
      <c r="C576" s="13">
        <f t="shared" si="19"/>
        <v>60875</v>
      </c>
      <c r="D576" s="14">
        <f>'Income Tracker Data'!V574</f>
        <v>0</v>
      </c>
      <c r="E576" s="15">
        <f>'Expense Tracker Data'!V574</f>
        <v>0</v>
      </c>
      <c r="F576" s="15">
        <f t="shared" si="18"/>
        <v>0</v>
      </c>
      <c r="G576" s="15" t="str">
        <f>IF(AND(D576&gt;0,E576&gt;0),G575+Bottom_Line_Table[[#This Row],[Difference]],"N/A")</f>
        <v>N/A</v>
      </c>
    </row>
    <row r="577" spans="2:7" x14ac:dyDescent="0.3">
      <c r="B577" s="12">
        <v>60876</v>
      </c>
      <c r="C577" s="13">
        <f t="shared" si="19"/>
        <v>60905</v>
      </c>
      <c r="D577" s="14">
        <f>'Income Tracker Data'!V575</f>
        <v>0</v>
      </c>
      <c r="E577" s="15">
        <f>'Expense Tracker Data'!V575</f>
        <v>0</v>
      </c>
      <c r="F577" s="15">
        <f t="shared" si="18"/>
        <v>0</v>
      </c>
      <c r="G577" s="15" t="str">
        <f>IF(AND(D577&gt;0,E577&gt;0),G576+Bottom_Line_Table[[#This Row],[Difference]],"N/A")</f>
        <v>N/A</v>
      </c>
    </row>
    <row r="578" spans="2:7" x14ac:dyDescent="0.3">
      <c r="B578" s="12">
        <v>60906</v>
      </c>
      <c r="C578" s="13">
        <f t="shared" si="19"/>
        <v>60936</v>
      </c>
      <c r="D578" s="14">
        <f>'Income Tracker Data'!V576</f>
        <v>0</v>
      </c>
      <c r="E578" s="15">
        <f>'Expense Tracker Data'!V576</f>
        <v>0</v>
      </c>
      <c r="F578" s="15">
        <f t="shared" si="18"/>
        <v>0</v>
      </c>
      <c r="G578" s="15" t="str">
        <f>IF(AND(D578&gt;0,E578&gt;0),G577+Bottom_Line_Table[[#This Row],[Difference]],"N/A")</f>
        <v>N/A</v>
      </c>
    </row>
    <row r="579" spans="2:7" x14ac:dyDescent="0.3">
      <c r="B579" s="12">
        <v>60937</v>
      </c>
      <c r="C579" s="13">
        <f t="shared" si="19"/>
        <v>60966</v>
      </c>
      <c r="D579" s="14">
        <f>'Income Tracker Data'!V577</f>
        <v>0</v>
      </c>
      <c r="E579" s="15">
        <f>'Expense Tracker Data'!V577</f>
        <v>0</v>
      </c>
      <c r="F579" s="15">
        <f t="shared" si="18"/>
        <v>0</v>
      </c>
      <c r="G579" s="15" t="str">
        <f>IF(AND(D579&gt;0,E579&gt;0),G578+Bottom_Line_Table[[#This Row],[Difference]],"N/A")</f>
        <v>N/A</v>
      </c>
    </row>
    <row r="580" spans="2:7" x14ac:dyDescent="0.3">
      <c r="B580" s="12">
        <v>60967</v>
      </c>
      <c r="C580" s="13">
        <f t="shared" si="19"/>
        <v>60997</v>
      </c>
      <c r="D580" s="14">
        <f>'Income Tracker Data'!V578</f>
        <v>0</v>
      </c>
      <c r="E580" s="15">
        <f>'Expense Tracker Data'!V578</f>
        <v>0</v>
      </c>
      <c r="F580" s="15">
        <f t="shared" si="18"/>
        <v>0</v>
      </c>
      <c r="G580" s="15" t="str">
        <f>IF(AND(D580&gt;0,E580&gt;0),G579+Bottom_Line_Table[[#This Row],[Difference]],"N/A")</f>
        <v>N/A</v>
      </c>
    </row>
    <row r="581" spans="2:7" x14ac:dyDescent="0.3">
      <c r="B581" s="12">
        <v>60998</v>
      </c>
      <c r="C581" s="13">
        <f t="shared" si="19"/>
        <v>61028</v>
      </c>
      <c r="D581" s="14">
        <f>'Income Tracker Data'!V579</f>
        <v>0</v>
      </c>
      <c r="E581" s="15">
        <f>'Expense Tracker Data'!V579</f>
        <v>0</v>
      </c>
      <c r="F581" s="15">
        <f t="shared" si="18"/>
        <v>0</v>
      </c>
      <c r="G581" s="15" t="str">
        <f>IF(AND(D581&gt;0,E581&gt;0),G580+Bottom_Line_Table[[#This Row],[Difference]],"N/A")</f>
        <v>N/A</v>
      </c>
    </row>
    <row r="582" spans="2:7" x14ac:dyDescent="0.3">
      <c r="B582" s="12">
        <v>61029</v>
      </c>
      <c r="C582" s="13">
        <f t="shared" si="19"/>
        <v>61056</v>
      </c>
      <c r="D582" s="14">
        <f>'Income Tracker Data'!V580</f>
        <v>0</v>
      </c>
      <c r="E582" s="15">
        <f>'Expense Tracker Data'!V580</f>
        <v>0</v>
      </c>
      <c r="F582" s="15">
        <f t="shared" ref="F582:F645" si="20">D582-E582</f>
        <v>0</v>
      </c>
      <c r="G582" s="15" t="str">
        <f>IF(AND(D582&gt;0,E582&gt;0),G581+Bottom_Line_Table[[#This Row],[Difference]],"N/A")</f>
        <v>N/A</v>
      </c>
    </row>
    <row r="583" spans="2:7" x14ac:dyDescent="0.3">
      <c r="B583" s="12">
        <v>61057</v>
      </c>
      <c r="C583" s="13">
        <f t="shared" si="19"/>
        <v>61087</v>
      </c>
      <c r="D583" s="14">
        <f>'Income Tracker Data'!V581</f>
        <v>0</v>
      </c>
      <c r="E583" s="15">
        <f>'Expense Tracker Data'!V581</f>
        <v>0</v>
      </c>
      <c r="F583" s="15">
        <f t="shared" si="20"/>
        <v>0</v>
      </c>
      <c r="G583" s="15" t="str">
        <f>IF(AND(D583&gt;0,E583&gt;0),G582+Bottom_Line_Table[[#This Row],[Difference]],"N/A")</f>
        <v>N/A</v>
      </c>
    </row>
    <row r="584" spans="2:7" x14ac:dyDescent="0.3">
      <c r="B584" s="12">
        <v>61088</v>
      </c>
      <c r="C584" s="13">
        <f t="shared" si="19"/>
        <v>61117</v>
      </c>
      <c r="D584" s="14">
        <f>'Income Tracker Data'!V582</f>
        <v>0</v>
      </c>
      <c r="E584" s="15">
        <f>'Expense Tracker Data'!V582</f>
        <v>0</v>
      </c>
      <c r="F584" s="15">
        <f t="shared" si="20"/>
        <v>0</v>
      </c>
      <c r="G584" s="15" t="str">
        <f>IF(AND(D584&gt;0,E584&gt;0),G583+Bottom_Line_Table[[#This Row],[Difference]],"N/A")</f>
        <v>N/A</v>
      </c>
    </row>
    <row r="585" spans="2:7" x14ac:dyDescent="0.3">
      <c r="B585" s="12">
        <v>61118</v>
      </c>
      <c r="C585" s="13">
        <f t="shared" si="19"/>
        <v>61148</v>
      </c>
      <c r="D585" s="14">
        <f>'Income Tracker Data'!V583</f>
        <v>0</v>
      </c>
      <c r="E585" s="15">
        <f>'Expense Tracker Data'!V583</f>
        <v>0</v>
      </c>
      <c r="F585" s="15">
        <f t="shared" si="20"/>
        <v>0</v>
      </c>
      <c r="G585" s="15" t="str">
        <f>IF(AND(D585&gt;0,E585&gt;0),G584+Bottom_Line_Table[[#This Row],[Difference]],"N/A")</f>
        <v>N/A</v>
      </c>
    </row>
    <row r="586" spans="2:7" x14ac:dyDescent="0.3">
      <c r="B586" s="12">
        <v>61149</v>
      </c>
      <c r="C586" s="13">
        <f t="shared" si="19"/>
        <v>61178</v>
      </c>
      <c r="D586" s="14">
        <f>'Income Tracker Data'!V584</f>
        <v>0</v>
      </c>
      <c r="E586" s="15">
        <f>'Expense Tracker Data'!V584</f>
        <v>0</v>
      </c>
      <c r="F586" s="15">
        <f t="shared" si="20"/>
        <v>0</v>
      </c>
      <c r="G586" s="15" t="str">
        <f>IF(AND(D586&gt;0,E586&gt;0),G585+Bottom_Line_Table[[#This Row],[Difference]],"N/A")</f>
        <v>N/A</v>
      </c>
    </row>
    <row r="587" spans="2:7" x14ac:dyDescent="0.3">
      <c r="B587" s="12">
        <v>61179</v>
      </c>
      <c r="C587" s="13">
        <f t="shared" ref="C587:C650" si="21">EOMONTH(B587,0)</f>
        <v>61209</v>
      </c>
      <c r="D587" s="14">
        <f>'Income Tracker Data'!V585</f>
        <v>0</v>
      </c>
      <c r="E587" s="15">
        <f>'Expense Tracker Data'!V585</f>
        <v>0</v>
      </c>
      <c r="F587" s="15">
        <f t="shared" si="20"/>
        <v>0</v>
      </c>
      <c r="G587" s="15" t="str">
        <f>IF(AND(D587&gt;0,E587&gt;0),G586+Bottom_Line_Table[[#This Row],[Difference]],"N/A")</f>
        <v>N/A</v>
      </c>
    </row>
    <row r="588" spans="2:7" x14ac:dyDescent="0.3">
      <c r="B588" s="12">
        <v>61210</v>
      </c>
      <c r="C588" s="13">
        <f t="shared" si="21"/>
        <v>61240</v>
      </c>
      <c r="D588" s="14">
        <f>'Income Tracker Data'!V586</f>
        <v>0</v>
      </c>
      <c r="E588" s="15">
        <f>'Expense Tracker Data'!V586</f>
        <v>0</v>
      </c>
      <c r="F588" s="15">
        <f t="shared" si="20"/>
        <v>0</v>
      </c>
      <c r="G588" s="15" t="str">
        <f>IF(AND(D588&gt;0,E588&gt;0),G587+Bottom_Line_Table[[#This Row],[Difference]],"N/A")</f>
        <v>N/A</v>
      </c>
    </row>
    <row r="589" spans="2:7" x14ac:dyDescent="0.3">
      <c r="B589" s="12">
        <v>61241</v>
      </c>
      <c r="C589" s="13">
        <f t="shared" si="21"/>
        <v>61270</v>
      </c>
      <c r="D589" s="14">
        <f>'Income Tracker Data'!V587</f>
        <v>0</v>
      </c>
      <c r="E589" s="15">
        <f>'Expense Tracker Data'!V587</f>
        <v>0</v>
      </c>
      <c r="F589" s="15">
        <f t="shared" si="20"/>
        <v>0</v>
      </c>
      <c r="G589" s="15" t="str">
        <f>IF(AND(D589&gt;0,E589&gt;0),G588+Bottom_Line_Table[[#This Row],[Difference]],"N/A")</f>
        <v>N/A</v>
      </c>
    </row>
    <row r="590" spans="2:7" x14ac:dyDescent="0.3">
      <c r="B590" s="12">
        <v>61271</v>
      </c>
      <c r="C590" s="13">
        <f t="shared" si="21"/>
        <v>61301</v>
      </c>
      <c r="D590" s="14">
        <f>'Income Tracker Data'!V588</f>
        <v>0</v>
      </c>
      <c r="E590" s="15">
        <f>'Expense Tracker Data'!V588</f>
        <v>0</v>
      </c>
      <c r="F590" s="15">
        <f t="shared" si="20"/>
        <v>0</v>
      </c>
      <c r="G590" s="15" t="str">
        <f>IF(AND(D590&gt;0,E590&gt;0),G589+Bottom_Line_Table[[#This Row],[Difference]],"N/A")</f>
        <v>N/A</v>
      </c>
    </row>
    <row r="591" spans="2:7" x14ac:dyDescent="0.3">
      <c r="B591" s="12">
        <v>61302</v>
      </c>
      <c r="C591" s="13">
        <f t="shared" si="21"/>
        <v>61331</v>
      </c>
      <c r="D591" s="14">
        <f>'Income Tracker Data'!V589</f>
        <v>0</v>
      </c>
      <c r="E591" s="15">
        <f>'Expense Tracker Data'!V589</f>
        <v>0</v>
      </c>
      <c r="F591" s="15">
        <f t="shared" si="20"/>
        <v>0</v>
      </c>
      <c r="G591" s="15" t="str">
        <f>IF(AND(D591&gt;0,E591&gt;0),G590+Bottom_Line_Table[[#This Row],[Difference]],"N/A")</f>
        <v>N/A</v>
      </c>
    </row>
    <row r="592" spans="2:7" x14ac:dyDescent="0.3">
      <c r="B592" s="12">
        <v>61332</v>
      </c>
      <c r="C592" s="13">
        <f t="shared" si="21"/>
        <v>61362</v>
      </c>
      <c r="D592" s="14">
        <f>'Income Tracker Data'!V590</f>
        <v>0</v>
      </c>
      <c r="E592" s="15">
        <f>'Expense Tracker Data'!V590</f>
        <v>0</v>
      </c>
      <c r="F592" s="15">
        <f t="shared" si="20"/>
        <v>0</v>
      </c>
      <c r="G592" s="15" t="str">
        <f>IF(AND(D592&gt;0,E592&gt;0),G591+Bottom_Line_Table[[#This Row],[Difference]],"N/A")</f>
        <v>N/A</v>
      </c>
    </row>
    <row r="593" spans="2:7" x14ac:dyDescent="0.3">
      <c r="B593" s="12">
        <v>61363</v>
      </c>
      <c r="C593" s="13">
        <f t="shared" si="21"/>
        <v>61393</v>
      </c>
      <c r="D593" s="14">
        <f>'Income Tracker Data'!V591</f>
        <v>0</v>
      </c>
      <c r="E593" s="15">
        <f>'Expense Tracker Data'!V591</f>
        <v>0</v>
      </c>
      <c r="F593" s="15">
        <f t="shared" si="20"/>
        <v>0</v>
      </c>
      <c r="G593" s="15" t="str">
        <f>IF(AND(D593&gt;0,E593&gt;0),G592+Bottom_Line_Table[[#This Row],[Difference]],"N/A")</f>
        <v>N/A</v>
      </c>
    </row>
    <row r="594" spans="2:7" x14ac:dyDescent="0.3">
      <c r="B594" s="12">
        <v>61394</v>
      </c>
      <c r="C594" s="13">
        <f t="shared" si="21"/>
        <v>61422</v>
      </c>
      <c r="D594" s="14">
        <f>'Income Tracker Data'!V592</f>
        <v>0</v>
      </c>
      <c r="E594" s="15">
        <f>'Expense Tracker Data'!V592</f>
        <v>0</v>
      </c>
      <c r="F594" s="15">
        <f t="shared" si="20"/>
        <v>0</v>
      </c>
      <c r="G594" s="15" t="str">
        <f>IF(AND(D594&gt;0,E594&gt;0),G593+Bottom_Line_Table[[#This Row],[Difference]],"N/A")</f>
        <v>N/A</v>
      </c>
    </row>
    <row r="595" spans="2:7" x14ac:dyDescent="0.3">
      <c r="B595" s="12">
        <v>61423</v>
      </c>
      <c r="C595" s="13">
        <f t="shared" si="21"/>
        <v>61453</v>
      </c>
      <c r="D595" s="14">
        <f>'Income Tracker Data'!V593</f>
        <v>0</v>
      </c>
      <c r="E595" s="15">
        <f>'Expense Tracker Data'!V593</f>
        <v>0</v>
      </c>
      <c r="F595" s="15">
        <f t="shared" si="20"/>
        <v>0</v>
      </c>
      <c r="G595" s="15" t="str">
        <f>IF(AND(D595&gt;0,E595&gt;0),G594+Bottom_Line_Table[[#This Row],[Difference]],"N/A")</f>
        <v>N/A</v>
      </c>
    </row>
    <row r="596" spans="2:7" x14ac:dyDescent="0.3">
      <c r="B596" s="12">
        <v>61454</v>
      </c>
      <c r="C596" s="13">
        <f t="shared" si="21"/>
        <v>61483</v>
      </c>
      <c r="D596" s="14">
        <f>'Income Tracker Data'!V594</f>
        <v>0</v>
      </c>
      <c r="E596" s="15">
        <f>'Expense Tracker Data'!V594</f>
        <v>0</v>
      </c>
      <c r="F596" s="15">
        <f t="shared" si="20"/>
        <v>0</v>
      </c>
      <c r="G596" s="15" t="str">
        <f>IF(AND(D596&gt;0,E596&gt;0),G595+Bottom_Line_Table[[#This Row],[Difference]],"N/A")</f>
        <v>N/A</v>
      </c>
    </row>
    <row r="597" spans="2:7" x14ac:dyDescent="0.3">
      <c r="B597" s="12">
        <v>61484</v>
      </c>
      <c r="C597" s="13">
        <f t="shared" si="21"/>
        <v>61514</v>
      </c>
      <c r="D597" s="14">
        <f>'Income Tracker Data'!V595</f>
        <v>0</v>
      </c>
      <c r="E597" s="15">
        <f>'Expense Tracker Data'!V595</f>
        <v>0</v>
      </c>
      <c r="F597" s="15">
        <f t="shared" si="20"/>
        <v>0</v>
      </c>
      <c r="G597" s="15" t="str">
        <f>IF(AND(D597&gt;0,E597&gt;0),G596+Bottom_Line_Table[[#This Row],[Difference]],"N/A")</f>
        <v>N/A</v>
      </c>
    </row>
    <row r="598" spans="2:7" x14ac:dyDescent="0.3">
      <c r="B598" s="12">
        <v>61515</v>
      </c>
      <c r="C598" s="13">
        <f t="shared" si="21"/>
        <v>61544</v>
      </c>
      <c r="D598" s="14">
        <f>'Income Tracker Data'!V596</f>
        <v>0</v>
      </c>
      <c r="E598" s="15">
        <f>'Expense Tracker Data'!V596</f>
        <v>0</v>
      </c>
      <c r="F598" s="15">
        <f t="shared" si="20"/>
        <v>0</v>
      </c>
      <c r="G598" s="15" t="str">
        <f>IF(AND(D598&gt;0,E598&gt;0),G597+Bottom_Line_Table[[#This Row],[Difference]],"N/A")</f>
        <v>N/A</v>
      </c>
    </row>
    <row r="599" spans="2:7" x14ac:dyDescent="0.3">
      <c r="B599" s="12">
        <v>61545</v>
      </c>
      <c r="C599" s="13">
        <f t="shared" si="21"/>
        <v>61575</v>
      </c>
      <c r="D599" s="14">
        <f>'Income Tracker Data'!V597</f>
        <v>0</v>
      </c>
      <c r="E599" s="15">
        <f>'Expense Tracker Data'!V597</f>
        <v>0</v>
      </c>
      <c r="F599" s="15">
        <f t="shared" si="20"/>
        <v>0</v>
      </c>
      <c r="G599" s="15" t="str">
        <f>IF(AND(D599&gt;0,E599&gt;0),G598+Bottom_Line_Table[[#This Row],[Difference]],"N/A")</f>
        <v>N/A</v>
      </c>
    </row>
    <row r="600" spans="2:7" x14ac:dyDescent="0.3">
      <c r="B600" s="12">
        <v>61576</v>
      </c>
      <c r="C600" s="13">
        <f t="shared" si="21"/>
        <v>61606</v>
      </c>
      <c r="D600" s="14">
        <f>'Income Tracker Data'!V598</f>
        <v>0</v>
      </c>
      <c r="E600" s="15">
        <f>'Expense Tracker Data'!V598</f>
        <v>0</v>
      </c>
      <c r="F600" s="15">
        <f t="shared" si="20"/>
        <v>0</v>
      </c>
      <c r="G600" s="15" t="str">
        <f>IF(AND(D600&gt;0,E600&gt;0),G599+Bottom_Line_Table[[#This Row],[Difference]],"N/A")</f>
        <v>N/A</v>
      </c>
    </row>
    <row r="601" spans="2:7" x14ac:dyDescent="0.3">
      <c r="B601" s="12">
        <v>61607</v>
      </c>
      <c r="C601" s="13">
        <f t="shared" si="21"/>
        <v>61636</v>
      </c>
      <c r="D601" s="14">
        <f>'Income Tracker Data'!V599</f>
        <v>0</v>
      </c>
      <c r="E601" s="15">
        <f>'Expense Tracker Data'!V599</f>
        <v>0</v>
      </c>
      <c r="F601" s="15">
        <f t="shared" si="20"/>
        <v>0</v>
      </c>
      <c r="G601" s="15" t="str">
        <f>IF(AND(D601&gt;0,E601&gt;0),G600+Bottom_Line_Table[[#This Row],[Difference]],"N/A")</f>
        <v>N/A</v>
      </c>
    </row>
    <row r="602" spans="2:7" x14ac:dyDescent="0.3">
      <c r="B602" s="12">
        <v>61637</v>
      </c>
      <c r="C602" s="13">
        <f t="shared" si="21"/>
        <v>61667</v>
      </c>
      <c r="D602" s="14">
        <f>'Income Tracker Data'!V600</f>
        <v>0</v>
      </c>
      <c r="E602" s="15">
        <f>'Expense Tracker Data'!V600</f>
        <v>0</v>
      </c>
      <c r="F602" s="15">
        <f t="shared" si="20"/>
        <v>0</v>
      </c>
      <c r="G602" s="15" t="str">
        <f>IF(AND(D602&gt;0,E602&gt;0),G601+Bottom_Line_Table[[#This Row],[Difference]],"N/A")</f>
        <v>N/A</v>
      </c>
    </row>
    <row r="603" spans="2:7" x14ac:dyDescent="0.3">
      <c r="B603" s="12">
        <v>61668</v>
      </c>
      <c r="C603" s="13">
        <f t="shared" si="21"/>
        <v>61697</v>
      </c>
      <c r="D603" s="14">
        <f>'Income Tracker Data'!V601</f>
        <v>0</v>
      </c>
      <c r="E603" s="15">
        <f>'Expense Tracker Data'!V601</f>
        <v>0</v>
      </c>
      <c r="F603" s="15">
        <f t="shared" si="20"/>
        <v>0</v>
      </c>
      <c r="G603" s="15" t="str">
        <f>IF(AND(D603&gt;0,E603&gt;0),G602+Bottom_Line_Table[[#This Row],[Difference]],"N/A")</f>
        <v>N/A</v>
      </c>
    </row>
    <row r="604" spans="2:7" x14ac:dyDescent="0.3">
      <c r="B604" s="12">
        <v>61698</v>
      </c>
      <c r="C604" s="13">
        <f t="shared" si="21"/>
        <v>61728</v>
      </c>
      <c r="D604" s="14">
        <f>'Income Tracker Data'!V602</f>
        <v>0</v>
      </c>
      <c r="E604" s="15">
        <f>'Expense Tracker Data'!V602</f>
        <v>0</v>
      </c>
      <c r="F604" s="15">
        <f t="shared" si="20"/>
        <v>0</v>
      </c>
      <c r="G604" s="15" t="str">
        <f>IF(AND(D604&gt;0,E604&gt;0),G603+Bottom_Line_Table[[#This Row],[Difference]],"N/A")</f>
        <v>N/A</v>
      </c>
    </row>
    <row r="605" spans="2:7" x14ac:dyDescent="0.3">
      <c r="B605" s="12">
        <v>61729</v>
      </c>
      <c r="C605" s="13">
        <f t="shared" si="21"/>
        <v>61759</v>
      </c>
      <c r="D605" s="14">
        <f>'Income Tracker Data'!V603</f>
        <v>0</v>
      </c>
      <c r="E605" s="15">
        <f>'Expense Tracker Data'!V603</f>
        <v>0</v>
      </c>
      <c r="F605" s="15">
        <f t="shared" si="20"/>
        <v>0</v>
      </c>
      <c r="G605" s="15" t="str">
        <f>IF(AND(D605&gt;0,E605&gt;0),G604+Bottom_Line_Table[[#This Row],[Difference]],"N/A")</f>
        <v>N/A</v>
      </c>
    </row>
    <row r="606" spans="2:7" x14ac:dyDescent="0.3">
      <c r="B606" s="12">
        <v>61760</v>
      </c>
      <c r="C606" s="13">
        <f t="shared" si="21"/>
        <v>61787</v>
      </c>
      <c r="D606" s="14">
        <f>'Income Tracker Data'!V604</f>
        <v>0</v>
      </c>
      <c r="E606" s="15">
        <f>'Expense Tracker Data'!V604</f>
        <v>0</v>
      </c>
      <c r="F606" s="15">
        <f t="shared" si="20"/>
        <v>0</v>
      </c>
      <c r="G606" s="15" t="str">
        <f>IF(AND(D606&gt;0,E606&gt;0),G605+Bottom_Line_Table[[#This Row],[Difference]],"N/A")</f>
        <v>N/A</v>
      </c>
    </row>
    <row r="607" spans="2:7" x14ac:dyDescent="0.3">
      <c r="B607" s="12">
        <v>61788</v>
      </c>
      <c r="C607" s="13">
        <f t="shared" si="21"/>
        <v>61818</v>
      </c>
      <c r="D607" s="14">
        <f>'Income Tracker Data'!V605</f>
        <v>0</v>
      </c>
      <c r="E607" s="15">
        <f>'Expense Tracker Data'!V605</f>
        <v>0</v>
      </c>
      <c r="F607" s="15">
        <f t="shared" si="20"/>
        <v>0</v>
      </c>
      <c r="G607" s="15" t="str">
        <f>IF(AND(D607&gt;0,E607&gt;0),G606+Bottom_Line_Table[[#This Row],[Difference]],"N/A")</f>
        <v>N/A</v>
      </c>
    </row>
    <row r="608" spans="2:7" x14ac:dyDescent="0.3">
      <c r="B608" s="12">
        <v>61819</v>
      </c>
      <c r="C608" s="13">
        <f t="shared" si="21"/>
        <v>61848</v>
      </c>
      <c r="D608" s="14">
        <f>'Income Tracker Data'!V606</f>
        <v>0</v>
      </c>
      <c r="E608" s="15">
        <f>'Expense Tracker Data'!V606</f>
        <v>0</v>
      </c>
      <c r="F608" s="15">
        <f t="shared" si="20"/>
        <v>0</v>
      </c>
      <c r="G608" s="15" t="str">
        <f>IF(AND(D608&gt;0,E608&gt;0),G607+Bottom_Line_Table[[#This Row],[Difference]],"N/A")</f>
        <v>N/A</v>
      </c>
    </row>
    <row r="609" spans="2:7" x14ac:dyDescent="0.3">
      <c r="B609" s="12">
        <v>61849</v>
      </c>
      <c r="C609" s="13">
        <f t="shared" si="21"/>
        <v>61879</v>
      </c>
      <c r="D609" s="14">
        <f>'Income Tracker Data'!V607</f>
        <v>0</v>
      </c>
      <c r="E609" s="15">
        <f>'Expense Tracker Data'!V607</f>
        <v>0</v>
      </c>
      <c r="F609" s="15">
        <f t="shared" si="20"/>
        <v>0</v>
      </c>
      <c r="G609" s="15" t="str">
        <f>IF(AND(D609&gt;0,E609&gt;0),G608+Bottom_Line_Table[[#This Row],[Difference]],"N/A")</f>
        <v>N/A</v>
      </c>
    </row>
    <row r="610" spans="2:7" x14ac:dyDescent="0.3">
      <c r="B610" s="12">
        <v>61880</v>
      </c>
      <c r="C610" s="13">
        <f t="shared" si="21"/>
        <v>61909</v>
      </c>
      <c r="D610" s="14">
        <f>'Income Tracker Data'!V608</f>
        <v>0</v>
      </c>
      <c r="E610" s="15">
        <f>'Expense Tracker Data'!V608</f>
        <v>0</v>
      </c>
      <c r="F610" s="15">
        <f t="shared" si="20"/>
        <v>0</v>
      </c>
      <c r="G610" s="15" t="str">
        <f>IF(AND(D610&gt;0,E610&gt;0),G609+Bottom_Line_Table[[#This Row],[Difference]],"N/A")</f>
        <v>N/A</v>
      </c>
    </row>
    <row r="611" spans="2:7" x14ac:dyDescent="0.3">
      <c r="B611" s="12">
        <v>61910</v>
      </c>
      <c r="C611" s="13">
        <f t="shared" si="21"/>
        <v>61940</v>
      </c>
      <c r="D611" s="14">
        <f>'Income Tracker Data'!V609</f>
        <v>0</v>
      </c>
      <c r="E611" s="15">
        <f>'Expense Tracker Data'!V609</f>
        <v>0</v>
      </c>
      <c r="F611" s="15">
        <f t="shared" si="20"/>
        <v>0</v>
      </c>
      <c r="G611" s="15" t="str">
        <f>IF(AND(D611&gt;0,E611&gt;0),G610+Bottom_Line_Table[[#This Row],[Difference]],"N/A")</f>
        <v>N/A</v>
      </c>
    </row>
    <row r="612" spans="2:7" x14ac:dyDescent="0.3">
      <c r="B612" s="12">
        <v>61941</v>
      </c>
      <c r="C612" s="13">
        <f t="shared" si="21"/>
        <v>61971</v>
      </c>
      <c r="D612" s="14">
        <f>'Income Tracker Data'!V610</f>
        <v>0</v>
      </c>
      <c r="E612" s="15">
        <f>'Expense Tracker Data'!V610</f>
        <v>0</v>
      </c>
      <c r="F612" s="15">
        <f t="shared" si="20"/>
        <v>0</v>
      </c>
      <c r="G612" s="15" t="str">
        <f>IF(AND(D612&gt;0,E612&gt;0),G611+Bottom_Line_Table[[#This Row],[Difference]],"N/A")</f>
        <v>N/A</v>
      </c>
    </row>
    <row r="613" spans="2:7" x14ac:dyDescent="0.3">
      <c r="B613" s="12">
        <v>61972</v>
      </c>
      <c r="C613" s="13">
        <f t="shared" si="21"/>
        <v>62001</v>
      </c>
      <c r="D613" s="14">
        <f>'Income Tracker Data'!V611</f>
        <v>0</v>
      </c>
      <c r="E613" s="15">
        <f>'Expense Tracker Data'!V611</f>
        <v>0</v>
      </c>
      <c r="F613" s="15">
        <f t="shared" si="20"/>
        <v>0</v>
      </c>
      <c r="G613" s="15" t="str">
        <f>IF(AND(D613&gt;0,E613&gt;0),G612+Bottom_Line_Table[[#This Row],[Difference]],"N/A")</f>
        <v>N/A</v>
      </c>
    </row>
    <row r="614" spans="2:7" x14ac:dyDescent="0.3">
      <c r="B614" s="12">
        <v>62002</v>
      </c>
      <c r="C614" s="13">
        <f t="shared" si="21"/>
        <v>62032</v>
      </c>
      <c r="D614" s="14">
        <f>'Income Tracker Data'!V612</f>
        <v>0</v>
      </c>
      <c r="E614" s="15">
        <f>'Expense Tracker Data'!V612</f>
        <v>0</v>
      </c>
      <c r="F614" s="15">
        <f t="shared" si="20"/>
        <v>0</v>
      </c>
      <c r="G614" s="15" t="str">
        <f>IF(AND(D614&gt;0,E614&gt;0),G613+Bottom_Line_Table[[#This Row],[Difference]],"N/A")</f>
        <v>N/A</v>
      </c>
    </row>
    <row r="615" spans="2:7" x14ac:dyDescent="0.3">
      <c r="B615" s="12">
        <v>62033</v>
      </c>
      <c r="C615" s="13">
        <f t="shared" si="21"/>
        <v>62062</v>
      </c>
      <c r="D615" s="14">
        <f>'Income Tracker Data'!V613</f>
        <v>0</v>
      </c>
      <c r="E615" s="15">
        <f>'Expense Tracker Data'!V613</f>
        <v>0</v>
      </c>
      <c r="F615" s="15">
        <f t="shared" si="20"/>
        <v>0</v>
      </c>
      <c r="G615" s="15" t="str">
        <f>IF(AND(D615&gt;0,E615&gt;0),G614+Bottom_Line_Table[[#This Row],[Difference]],"N/A")</f>
        <v>N/A</v>
      </c>
    </row>
    <row r="616" spans="2:7" x14ac:dyDescent="0.3">
      <c r="B616" s="12">
        <v>62063</v>
      </c>
      <c r="C616" s="13">
        <f t="shared" si="21"/>
        <v>62093</v>
      </c>
      <c r="D616" s="14">
        <f>'Income Tracker Data'!V614</f>
        <v>0</v>
      </c>
      <c r="E616" s="15">
        <f>'Expense Tracker Data'!V614</f>
        <v>0</v>
      </c>
      <c r="F616" s="15">
        <f t="shared" si="20"/>
        <v>0</v>
      </c>
      <c r="G616" s="15" t="str">
        <f>IF(AND(D616&gt;0,E616&gt;0),G615+Bottom_Line_Table[[#This Row],[Difference]],"N/A")</f>
        <v>N/A</v>
      </c>
    </row>
    <row r="617" spans="2:7" x14ac:dyDescent="0.3">
      <c r="B617" s="12">
        <v>62094</v>
      </c>
      <c r="C617" s="13">
        <f t="shared" si="21"/>
        <v>62124</v>
      </c>
      <c r="D617" s="14">
        <f>'Income Tracker Data'!V615</f>
        <v>0</v>
      </c>
      <c r="E617" s="15">
        <f>'Expense Tracker Data'!V615</f>
        <v>0</v>
      </c>
      <c r="F617" s="15">
        <f t="shared" si="20"/>
        <v>0</v>
      </c>
      <c r="G617" s="15" t="str">
        <f>IF(AND(D617&gt;0,E617&gt;0),G616+Bottom_Line_Table[[#This Row],[Difference]],"N/A")</f>
        <v>N/A</v>
      </c>
    </row>
    <row r="618" spans="2:7" x14ac:dyDescent="0.3">
      <c r="B618" s="12">
        <v>62125</v>
      </c>
      <c r="C618" s="13">
        <f t="shared" si="21"/>
        <v>62152</v>
      </c>
      <c r="D618" s="14">
        <f>'Income Tracker Data'!V616</f>
        <v>0</v>
      </c>
      <c r="E618" s="15">
        <f>'Expense Tracker Data'!V616</f>
        <v>0</v>
      </c>
      <c r="F618" s="15">
        <f t="shared" si="20"/>
        <v>0</v>
      </c>
      <c r="G618" s="15" t="str">
        <f>IF(AND(D618&gt;0,E618&gt;0),G617+Bottom_Line_Table[[#This Row],[Difference]],"N/A")</f>
        <v>N/A</v>
      </c>
    </row>
    <row r="619" spans="2:7" x14ac:dyDescent="0.3">
      <c r="B619" s="12">
        <v>62153</v>
      </c>
      <c r="C619" s="13">
        <f t="shared" si="21"/>
        <v>62183</v>
      </c>
      <c r="D619" s="14">
        <f>'Income Tracker Data'!V617</f>
        <v>0</v>
      </c>
      <c r="E619" s="15">
        <f>'Expense Tracker Data'!V617</f>
        <v>0</v>
      </c>
      <c r="F619" s="15">
        <f t="shared" si="20"/>
        <v>0</v>
      </c>
      <c r="G619" s="15" t="str">
        <f>IF(AND(D619&gt;0,E619&gt;0),G618+Bottom_Line_Table[[#This Row],[Difference]],"N/A")</f>
        <v>N/A</v>
      </c>
    </row>
    <row r="620" spans="2:7" x14ac:dyDescent="0.3">
      <c r="B620" s="12">
        <v>62184</v>
      </c>
      <c r="C620" s="13">
        <f t="shared" si="21"/>
        <v>62213</v>
      </c>
      <c r="D620" s="14">
        <f>'Income Tracker Data'!V618</f>
        <v>0</v>
      </c>
      <c r="E620" s="15">
        <f>'Expense Tracker Data'!V618</f>
        <v>0</v>
      </c>
      <c r="F620" s="15">
        <f t="shared" si="20"/>
        <v>0</v>
      </c>
      <c r="G620" s="15" t="str">
        <f>IF(AND(D620&gt;0,E620&gt;0),G619+Bottom_Line_Table[[#This Row],[Difference]],"N/A")</f>
        <v>N/A</v>
      </c>
    </row>
    <row r="621" spans="2:7" x14ac:dyDescent="0.3">
      <c r="B621" s="12">
        <v>62214</v>
      </c>
      <c r="C621" s="13">
        <f t="shared" si="21"/>
        <v>62244</v>
      </c>
      <c r="D621" s="14">
        <f>'Income Tracker Data'!V619</f>
        <v>0</v>
      </c>
      <c r="E621" s="15">
        <f>'Expense Tracker Data'!V619</f>
        <v>0</v>
      </c>
      <c r="F621" s="15">
        <f t="shared" si="20"/>
        <v>0</v>
      </c>
      <c r="G621" s="15" t="str">
        <f>IF(AND(D621&gt;0,E621&gt;0),G620+Bottom_Line_Table[[#This Row],[Difference]],"N/A")</f>
        <v>N/A</v>
      </c>
    </row>
    <row r="622" spans="2:7" x14ac:dyDescent="0.3">
      <c r="B622" s="12">
        <v>62245</v>
      </c>
      <c r="C622" s="13">
        <f t="shared" si="21"/>
        <v>62274</v>
      </c>
      <c r="D622" s="14">
        <f>'Income Tracker Data'!V620</f>
        <v>0</v>
      </c>
      <c r="E622" s="15">
        <f>'Expense Tracker Data'!V620</f>
        <v>0</v>
      </c>
      <c r="F622" s="15">
        <f t="shared" si="20"/>
        <v>0</v>
      </c>
      <c r="G622" s="15" t="str">
        <f>IF(AND(D622&gt;0,E622&gt;0),G621+Bottom_Line_Table[[#This Row],[Difference]],"N/A")</f>
        <v>N/A</v>
      </c>
    </row>
    <row r="623" spans="2:7" x14ac:dyDescent="0.3">
      <c r="B623" s="12">
        <v>62275</v>
      </c>
      <c r="C623" s="13">
        <f t="shared" si="21"/>
        <v>62305</v>
      </c>
      <c r="D623" s="14">
        <f>'Income Tracker Data'!V621</f>
        <v>0</v>
      </c>
      <c r="E623" s="15">
        <f>'Expense Tracker Data'!V621</f>
        <v>0</v>
      </c>
      <c r="F623" s="15">
        <f t="shared" si="20"/>
        <v>0</v>
      </c>
      <c r="G623" s="15" t="str">
        <f>IF(AND(D623&gt;0,E623&gt;0),G622+Bottom_Line_Table[[#This Row],[Difference]],"N/A")</f>
        <v>N/A</v>
      </c>
    </row>
    <row r="624" spans="2:7" x14ac:dyDescent="0.3">
      <c r="B624" s="12">
        <v>62306</v>
      </c>
      <c r="C624" s="13">
        <f t="shared" si="21"/>
        <v>62336</v>
      </c>
      <c r="D624" s="14">
        <f>'Income Tracker Data'!V622</f>
        <v>0</v>
      </c>
      <c r="E624" s="15">
        <f>'Expense Tracker Data'!V622</f>
        <v>0</v>
      </c>
      <c r="F624" s="15">
        <f t="shared" si="20"/>
        <v>0</v>
      </c>
      <c r="G624" s="15" t="str">
        <f>IF(AND(D624&gt;0,E624&gt;0),G623+Bottom_Line_Table[[#This Row],[Difference]],"N/A")</f>
        <v>N/A</v>
      </c>
    </row>
    <row r="625" spans="2:7" x14ac:dyDescent="0.3">
      <c r="B625" s="12">
        <v>62337</v>
      </c>
      <c r="C625" s="13">
        <f t="shared" si="21"/>
        <v>62366</v>
      </c>
      <c r="D625" s="14">
        <f>'Income Tracker Data'!V623</f>
        <v>0</v>
      </c>
      <c r="E625" s="15">
        <f>'Expense Tracker Data'!V623</f>
        <v>0</v>
      </c>
      <c r="F625" s="15">
        <f t="shared" si="20"/>
        <v>0</v>
      </c>
      <c r="G625" s="15" t="str">
        <f>IF(AND(D625&gt;0,E625&gt;0),G624+Bottom_Line_Table[[#This Row],[Difference]],"N/A")</f>
        <v>N/A</v>
      </c>
    </row>
    <row r="626" spans="2:7" x14ac:dyDescent="0.3">
      <c r="B626" s="12">
        <v>62367</v>
      </c>
      <c r="C626" s="13">
        <f t="shared" si="21"/>
        <v>62397</v>
      </c>
      <c r="D626" s="14">
        <f>'Income Tracker Data'!V624</f>
        <v>0</v>
      </c>
      <c r="E626" s="15">
        <f>'Expense Tracker Data'!V624</f>
        <v>0</v>
      </c>
      <c r="F626" s="15">
        <f t="shared" si="20"/>
        <v>0</v>
      </c>
      <c r="G626" s="15" t="str">
        <f>IF(AND(D626&gt;0,E626&gt;0),G625+Bottom_Line_Table[[#This Row],[Difference]],"N/A")</f>
        <v>N/A</v>
      </c>
    </row>
    <row r="627" spans="2:7" x14ac:dyDescent="0.3">
      <c r="B627" s="12">
        <v>62398</v>
      </c>
      <c r="C627" s="13">
        <f t="shared" si="21"/>
        <v>62427</v>
      </c>
      <c r="D627" s="14">
        <f>'Income Tracker Data'!V625</f>
        <v>0</v>
      </c>
      <c r="E627" s="15">
        <f>'Expense Tracker Data'!V625</f>
        <v>0</v>
      </c>
      <c r="F627" s="15">
        <f t="shared" si="20"/>
        <v>0</v>
      </c>
      <c r="G627" s="15" t="str">
        <f>IF(AND(D627&gt;0,E627&gt;0),G626+Bottom_Line_Table[[#This Row],[Difference]],"N/A")</f>
        <v>N/A</v>
      </c>
    </row>
    <row r="628" spans="2:7" x14ac:dyDescent="0.3">
      <c r="B628" s="12">
        <v>62428</v>
      </c>
      <c r="C628" s="13">
        <f t="shared" si="21"/>
        <v>62458</v>
      </c>
      <c r="D628" s="14">
        <f>'Income Tracker Data'!V626</f>
        <v>0</v>
      </c>
      <c r="E628" s="15">
        <f>'Expense Tracker Data'!V626</f>
        <v>0</v>
      </c>
      <c r="F628" s="15">
        <f t="shared" si="20"/>
        <v>0</v>
      </c>
      <c r="G628" s="15" t="str">
        <f>IF(AND(D628&gt;0,E628&gt;0),G627+Bottom_Line_Table[[#This Row],[Difference]],"N/A")</f>
        <v>N/A</v>
      </c>
    </row>
    <row r="629" spans="2:7" x14ac:dyDescent="0.3">
      <c r="B629" s="12">
        <v>62459</v>
      </c>
      <c r="C629" s="13">
        <f t="shared" si="21"/>
        <v>62489</v>
      </c>
      <c r="D629" s="14">
        <f>'Income Tracker Data'!V627</f>
        <v>0</v>
      </c>
      <c r="E629" s="15">
        <f>'Expense Tracker Data'!V627</f>
        <v>0</v>
      </c>
      <c r="F629" s="15">
        <f t="shared" si="20"/>
        <v>0</v>
      </c>
      <c r="G629" s="15" t="str">
        <f>IF(AND(D629&gt;0,E629&gt;0),G628+Bottom_Line_Table[[#This Row],[Difference]],"N/A")</f>
        <v>N/A</v>
      </c>
    </row>
    <row r="630" spans="2:7" x14ac:dyDescent="0.3">
      <c r="B630" s="12">
        <v>62490</v>
      </c>
      <c r="C630" s="13">
        <f t="shared" si="21"/>
        <v>62517</v>
      </c>
      <c r="D630" s="14">
        <f>'Income Tracker Data'!V628</f>
        <v>0</v>
      </c>
      <c r="E630" s="15">
        <f>'Expense Tracker Data'!V628</f>
        <v>0</v>
      </c>
      <c r="F630" s="15">
        <f t="shared" si="20"/>
        <v>0</v>
      </c>
      <c r="G630" s="15" t="str">
        <f>IF(AND(D630&gt;0,E630&gt;0),G629+Bottom_Line_Table[[#This Row],[Difference]],"N/A")</f>
        <v>N/A</v>
      </c>
    </row>
    <row r="631" spans="2:7" x14ac:dyDescent="0.3">
      <c r="B631" s="12">
        <v>62518</v>
      </c>
      <c r="C631" s="13">
        <f t="shared" si="21"/>
        <v>62548</v>
      </c>
      <c r="D631" s="14">
        <f>'Income Tracker Data'!V629</f>
        <v>0</v>
      </c>
      <c r="E631" s="15">
        <f>'Expense Tracker Data'!V629</f>
        <v>0</v>
      </c>
      <c r="F631" s="15">
        <f t="shared" si="20"/>
        <v>0</v>
      </c>
      <c r="G631" s="15" t="str">
        <f>IF(AND(D631&gt;0,E631&gt;0),G630+Bottom_Line_Table[[#This Row],[Difference]],"N/A")</f>
        <v>N/A</v>
      </c>
    </row>
    <row r="632" spans="2:7" x14ac:dyDescent="0.3">
      <c r="B632" s="12">
        <v>62549</v>
      </c>
      <c r="C632" s="13">
        <f t="shared" si="21"/>
        <v>62578</v>
      </c>
      <c r="D632" s="14">
        <f>'Income Tracker Data'!V630</f>
        <v>0</v>
      </c>
      <c r="E632" s="15">
        <f>'Expense Tracker Data'!V630</f>
        <v>0</v>
      </c>
      <c r="F632" s="15">
        <f t="shared" si="20"/>
        <v>0</v>
      </c>
      <c r="G632" s="15" t="str">
        <f>IF(AND(D632&gt;0,E632&gt;0),G631+Bottom_Line_Table[[#This Row],[Difference]],"N/A")</f>
        <v>N/A</v>
      </c>
    </row>
    <row r="633" spans="2:7" x14ac:dyDescent="0.3">
      <c r="B633" s="12">
        <v>62579</v>
      </c>
      <c r="C633" s="13">
        <f t="shared" si="21"/>
        <v>62609</v>
      </c>
      <c r="D633" s="14">
        <f>'Income Tracker Data'!V631</f>
        <v>0</v>
      </c>
      <c r="E633" s="15">
        <f>'Expense Tracker Data'!V631</f>
        <v>0</v>
      </c>
      <c r="F633" s="15">
        <f t="shared" si="20"/>
        <v>0</v>
      </c>
      <c r="G633" s="15" t="str">
        <f>IF(AND(D633&gt;0,E633&gt;0),G632+Bottom_Line_Table[[#This Row],[Difference]],"N/A")</f>
        <v>N/A</v>
      </c>
    </row>
    <row r="634" spans="2:7" x14ac:dyDescent="0.3">
      <c r="B634" s="12">
        <v>62610</v>
      </c>
      <c r="C634" s="13">
        <f t="shared" si="21"/>
        <v>62639</v>
      </c>
      <c r="D634" s="14">
        <f>'Income Tracker Data'!V632</f>
        <v>0</v>
      </c>
      <c r="E634" s="15">
        <f>'Expense Tracker Data'!V632</f>
        <v>0</v>
      </c>
      <c r="F634" s="15">
        <f t="shared" si="20"/>
        <v>0</v>
      </c>
      <c r="G634" s="15" t="str">
        <f>IF(AND(D634&gt;0,E634&gt;0),G633+Bottom_Line_Table[[#This Row],[Difference]],"N/A")</f>
        <v>N/A</v>
      </c>
    </row>
    <row r="635" spans="2:7" x14ac:dyDescent="0.3">
      <c r="B635" s="12">
        <v>62640</v>
      </c>
      <c r="C635" s="13">
        <f t="shared" si="21"/>
        <v>62670</v>
      </c>
      <c r="D635" s="14">
        <f>'Income Tracker Data'!V633</f>
        <v>0</v>
      </c>
      <c r="E635" s="15">
        <f>'Expense Tracker Data'!V633</f>
        <v>0</v>
      </c>
      <c r="F635" s="15">
        <f t="shared" si="20"/>
        <v>0</v>
      </c>
      <c r="G635" s="15" t="str">
        <f>IF(AND(D635&gt;0,E635&gt;0),G634+Bottom_Line_Table[[#This Row],[Difference]],"N/A")</f>
        <v>N/A</v>
      </c>
    </row>
    <row r="636" spans="2:7" x14ac:dyDescent="0.3">
      <c r="B636" s="12">
        <v>62671</v>
      </c>
      <c r="C636" s="13">
        <f t="shared" si="21"/>
        <v>62701</v>
      </c>
      <c r="D636" s="14">
        <f>'Income Tracker Data'!V634</f>
        <v>0</v>
      </c>
      <c r="E636" s="15">
        <f>'Expense Tracker Data'!V634</f>
        <v>0</v>
      </c>
      <c r="F636" s="15">
        <f t="shared" si="20"/>
        <v>0</v>
      </c>
      <c r="G636" s="15" t="str">
        <f>IF(AND(D636&gt;0,E636&gt;0),G635+Bottom_Line_Table[[#This Row],[Difference]],"N/A")</f>
        <v>N/A</v>
      </c>
    </row>
    <row r="637" spans="2:7" x14ac:dyDescent="0.3">
      <c r="B637" s="12">
        <v>62702</v>
      </c>
      <c r="C637" s="13">
        <f t="shared" si="21"/>
        <v>62731</v>
      </c>
      <c r="D637" s="14">
        <f>'Income Tracker Data'!V635</f>
        <v>0</v>
      </c>
      <c r="E637" s="15">
        <f>'Expense Tracker Data'!V635</f>
        <v>0</v>
      </c>
      <c r="F637" s="15">
        <f t="shared" si="20"/>
        <v>0</v>
      </c>
      <c r="G637" s="15" t="str">
        <f>IF(AND(D637&gt;0,E637&gt;0),G636+Bottom_Line_Table[[#This Row],[Difference]],"N/A")</f>
        <v>N/A</v>
      </c>
    </row>
    <row r="638" spans="2:7" x14ac:dyDescent="0.3">
      <c r="B638" s="12">
        <v>62732</v>
      </c>
      <c r="C638" s="13">
        <f t="shared" si="21"/>
        <v>62762</v>
      </c>
      <c r="D638" s="14">
        <f>'Income Tracker Data'!V636</f>
        <v>0</v>
      </c>
      <c r="E638" s="15">
        <f>'Expense Tracker Data'!V636</f>
        <v>0</v>
      </c>
      <c r="F638" s="15">
        <f t="shared" si="20"/>
        <v>0</v>
      </c>
      <c r="G638" s="15" t="str">
        <f>IF(AND(D638&gt;0,E638&gt;0),G637+Bottom_Line_Table[[#This Row],[Difference]],"N/A")</f>
        <v>N/A</v>
      </c>
    </row>
    <row r="639" spans="2:7" x14ac:dyDescent="0.3">
      <c r="B639" s="12">
        <v>62763</v>
      </c>
      <c r="C639" s="13">
        <f t="shared" si="21"/>
        <v>62792</v>
      </c>
      <c r="D639" s="14">
        <f>'Income Tracker Data'!V637</f>
        <v>0</v>
      </c>
      <c r="E639" s="15">
        <f>'Expense Tracker Data'!V637</f>
        <v>0</v>
      </c>
      <c r="F639" s="15">
        <f t="shared" si="20"/>
        <v>0</v>
      </c>
      <c r="G639" s="15" t="str">
        <f>IF(AND(D639&gt;0,E639&gt;0),G638+Bottom_Line_Table[[#This Row],[Difference]],"N/A")</f>
        <v>N/A</v>
      </c>
    </row>
    <row r="640" spans="2:7" x14ac:dyDescent="0.3">
      <c r="B640" s="12">
        <v>62793</v>
      </c>
      <c r="C640" s="13">
        <f t="shared" si="21"/>
        <v>62823</v>
      </c>
      <c r="D640" s="14">
        <f>'Income Tracker Data'!V638</f>
        <v>0</v>
      </c>
      <c r="E640" s="15">
        <f>'Expense Tracker Data'!V638</f>
        <v>0</v>
      </c>
      <c r="F640" s="15">
        <f t="shared" si="20"/>
        <v>0</v>
      </c>
      <c r="G640" s="15" t="str">
        <f>IF(AND(D640&gt;0,E640&gt;0),G639+Bottom_Line_Table[[#This Row],[Difference]],"N/A")</f>
        <v>N/A</v>
      </c>
    </row>
    <row r="641" spans="2:7" x14ac:dyDescent="0.3">
      <c r="B641" s="12">
        <v>62824</v>
      </c>
      <c r="C641" s="13">
        <f t="shared" si="21"/>
        <v>62854</v>
      </c>
      <c r="D641" s="14">
        <f>'Income Tracker Data'!V639</f>
        <v>0</v>
      </c>
      <c r="E641" s="15">
        <f>'Expense Tracker Data'!V639</f>
        <v>0</v>
      </c>
      <c r="F641" s="15">
        <f t="shared" si="20"/>
        <v>0</v>
      </c>
      <c r="G641" s="15" t="str">
        <f>IF(AND(D641&gt;0,E641&gt;0),G640+Bottom_Line_Table[[#This Row],[Difference]],"N/A")</f>
        <v>N/A</v>
      </c>
    </row>
    <row r="642" spans="2:7" x14ac:dyDescent="0.3">
      <c r="B642" s="12">
        <v>62855</v>
      </c>
      <c r="C642" s="13">
        <f t="shared" si="21"/>
        <v>62883</v>
      </c>
      <c r="D642" s="14">
        <f>'Income Tracker Data'!V640</f>
        <v>0</v>
      </c>
      <c r="E642" s="15">
        <f>'Expense Tracker Data'!V640</f>
        <v>0</v>
      </c>
      <c r="F642" s="15">
        <f t="shared" si="20"/>
        <v>0</v>
      </c>
      <c r="G642" s="15" t="str">
        <f>IF(AND(D642&gt;0,E642&gt;0),G641+Bottom_Line_Table[[#This Row],[Difference]],"N/A")</f>
        <v>N/A</v>
      </c>
    </row>
    <row r="643" spans="2:7" x14ac:dyDescent="0.3">
      <c r="B643" s="12">
        <v>62884</v>
      </c>
      <c r="C643" s="13">
        <f t="shared" si="21"/>
        <v>62914</v>
      </c>
      <c r="D643" s="14">
        <f>'Income Tracker Data'!V641</f>
        <v>0</v>
      </c>
      <c r="E643" s="15">
        <f>'Expense Tracker Data'!V641</f>
        <v>0</v>
      </c>
      <c r="F643" s="15">
        <f t="shared" si="20"/>
        <v>0</v>
      </c>
      <c r="G643" s="15" t="str">
        <f>IF(AND(D643&gt;0,E643&gt;0),G642+Bottom_Line_Table[[#This Row],[Difference]],"N/A")</f>
        <v>N/A</v>
      </c>
    </row>
    <row r="644" spans="2:7" x14ac:dyDescent="0.3">
      <c r="B644" s="12">
        <v>62915</v>
      </c>
      <c r="C644" s="13">
        <f t="shared" si="21"/>
        <v>62944</v>
      </c>
      <c r="D644" s="14">
        <f>'Income Tracker Data'!V642</f>
        <v>0</v>
      </c>
      <c r="E644" s="15">
        <f>'Expense Tracker Data'!V642</f>
        <v>0</v>
      </c>
      <c r="F644" s="15">
        <f t="shared" si="20"/>
        <v>0</v>
      </c>
      <c r="G644" s="15" t="str">
        <f>IF(AND(D644&gt;0,E644&gt;0),G643+Bottom_Line_Table[[#This Row],[Difference]],"N/A")</f>
        <v>N/A</v>
      </c>
    </row>
    <row r="645" spans="2:7" x14ac:dyDescent="0.3">
      <c r="B645" s="12">
        <v>62945</v>
      </c>
      <c r="C645" s="13">
        <f t="shared" si="21"/>
        <v>62975</v>
      </c>
      <c r="D645" s="14">
        <f>'Income Tracker Data'!V643</f>
        <v>0</v>
      </c>
      <c r="E645" s="15">
        <f>'Expense Tracker Data'!V643</f>
        <v>0</v>
      </c>
      <c r="F645" s="15">
        <f t="shared" si="20"/>
        <v>0</v>
      </c>
      <c r="G645" s="15" t="str">
        <f>IF(AND(D645&gt;0,E645&gt;0),G644+Bottom_Line_Table[[#This Row],[Difference]],"N/A")</f>
        <v>N/A</v>
      </c>
    </row>
    <row r="646" spans="2:7" x14ac:dyDescent="0.3">
      <c r="B646" s="12">
        <v>62976</v>
      </c>
      <c r="C646" s="13">
        <f t="shared" si="21"/>
        <v>63005</v>
      </c>
      <c r="D646" s="14">
        <f>'Income Tracker Data'!V644</f>
        <v>0</v>
      </c>
      <c r="E646" s="15">
        <f>'Expense Tracker Data'!V644</f>
        <v>0</v>
      </c>
      <c r="F646" s="15">
        <f t="shared" ref="F646:F709" si="22">D646-E646</f>
        <v>0</v>
      </c>
      <c r="G646" s="15" t="str">
        <f>IF(AND(D646&gt;0,E646&gt;0),G645+Bottom_Line_Table[[#This Row],[Difference]],"N/A")</f>
        <v>N/A</v>
      </c>
    </row>
    <row r="647" spans="2:7" x14ac:dyDescent="0.3">
      <c r="B647" s="12">
        <v>63006</v>
      </c>
      <c r="C647" s="13">
        <f t="shared" si="21"/>
        <v>63036</v>
      </c>
      <c r="D647" s="14">
        <f>'Income Tracker Data'!V645</f>
        <v>0</v>
      </c>
      <c r="E647" s="15">
        <f>'Expense Tracker Data'!V645</f>
        <v>0</v>
      </c>
      <c r="F647" s="15">
        <f t="shared" si="22"/>
        <v>0</v>
      </c>
      <c r="G647" s="15" t="str">
        <f>IF(AND(D647&gt;0,E647&gt;0),G646+Bottom_Line_Table[[#This Row],[Difference]],"N/A")</f>
        <v>N/A</v>
      </c>
    </row>
    <row r="648" spans="2:7" x14ac:dyDescent="0.3">
      <c r="B648" s="12">
        <v>63037</v>
      </c>
      <c r="C648" s="13">
        <f t="shared" si="21"/>
        <v>63067</v>
      </c>
      <c r="D648" s="14">
        <f>'Income Tracker Data'!V646</f>
        <v>0</v>
      </c>
      <c r="E648" s="15">
        <f>'Expense Tracker Data'!V646</f>
        <v>0</v>
      </c>
      <c r="F648" s="15">
        <f t="shared" si="22"/>
        <v>0</v>
      </c>
      <c r="G648" s="15" t="str">
        <f>IF(AND(D648&gt;0,E648&gt;0),G647+Bottom_Line_Table[[#This Row],[Difference]],"N/A")</f>
        <v>N/A</v>
      </c>
    </row>
    <row r="649" spans="2:7" x14ac:dyDescent="0.3">
      <c r="B649" s="12">
        <v>63068</v>
      </c>
      <c r="C649" s="13">
        <f t="shared" si="21"/>
        <v>63097</v>
      </c>
      <c r="D649" s="14">
        <f>'Income Tracker Data'!V647</f>
        <v>0</v>
      </c>
      <c r="E649" s="15">
        <f>'Expense Tracker Data'!V647</f>
        <v>0</v>
      </c>
      <c r="F649" s="15">
        <f t="shared" si="22"/>
        <v>0</v>
      </c>
      <c r="G649" s="15" t="str">
        <f>IF(AND(D649&gt;0,E649&gt;0),G648+Bottom_Line_Table[[#This Row],[Difference]],"N/A")</f>
        <v>N/A</v>
      </c>
    </row>
    <row r="650" spans="2:7" x14ac:dyDescent="0.3">
      <c r="B650" s="12">
        <v>63098</v>
      </c>
      <c r="C650" s="13">
        <f t="shared" si="21"/>
        <v>63128</v>
      </c>
      <c r="D650" s="14">
        <f>'Income Tracker Data'!V648</f>
        <v>0</v>
      </c>
      <c r="E650" s="15">
        <f>'Expense Tracker Data'!V648</f>
        <v>0</v>
      </c>
      <c r="F650" s="15">
        <f t="shared" si="22"/>
        <v>0</v>
      </c>
      <c r="G650" s="15" t="str">
        <f>IF(AND(D650&gt;0,E650&gt;0),G649+Bottom_Line_Table[[#This Row],[Difference]],"N/A")</f>
        <v>N/A</v>
      </c>
    </row>
    <row r="651" spans="2:7" x14ac:dyDescent="0.3">
      <c r="B651" s="12">
        <v>63129</v>
      </c>
      <c r="C651" s="13">
        <f t="shared" ref="C651:C714" si="23">EOMONTH(B651,0)</f>
        <v>63158</v>
      </c>
      <c r="D651" s="14">
        <f>'Income Tracker Data'!V649</f>
        <v>0</v>
      </c>
      <c r="E651" s="15">
        <f>'Expense Tracker Data'!V649</f>
        <v>0</v>
      </c>
      <c r="F651" s="15">
        <f t="shared" si="22"/>
        <v>0</v>
      </c>
      <c r="G651" s="15" t="str">
        <f>IF(AND(D651&gt;0,E651&gt;0),G650+Bottom_Line_Table[[#This Row],[Difference]],"N/A")</f>
        <v>N/A</v>
      </c>
    </row>
    <row r="652" spans="2:7" x14ac:dyDescent="0.3">
      <c r="B652" s="12">
        <v>63159</v>
      </c>
      <c r="C652" s="13">
        <f t="shared" si="23"/>
        <v>63189</v>
      </c>
      <c r="D652" s="14">
        <f>'Income Tracker Data'!V650</f>
        <v>0</v>
      </c>
      <c r="E652" s="15">
        <f>'Expense Tracker Data'!V650</f>
        <v>0</v>
      </c>
      <c r="F652" s="15">
        <f t="shared" si="22"/>
        <v>0</v>
      </c>
      <c r="G652" s="15" t="str">
        <f>IF(AND(D652&gt;0,E652&gt;0),G651+Bottom_Line_Table[[#This Row],[Difference]],"N/A")</f>
        <v>N/A</v>
      </c>
    </row>
    <row r="653" spans="2:7" x14ac:dyDescent="0.3">
      <c r="B653" s="12">
        <v>63190</v>
      </c>
      <c r="C653" s="13">
        <f t="shared" si="23"/>
        <v>63220</v>
      </c>
      <c r="D653" s="14">
        <f>'Income Tracker Data'!V651</f>
        <v>0</v>
      </c>
      <c r="E653" s="15">
        <f>'Expense Tracker Data'!V651</f>
        <v>0</v>
      </c>
      <c r="F653" s="15">
        <f t="shared" si="22"/>
        <v>0</v>
      </c>
      <c r="G653" s="15" t="str">
        <f>IF(AND(D653&gt;0,E653&gt;0),G652+Bottom_Line_Table[[#This Row],[Difference]],"N/A")</f>
        <v>N/A</v>
      </c>
    </row>
    <row r="654" spans="2:7" x14ac:dyDescent="0.3">
      <c r="B654" s="12">
        <v>63221</v>
      </c>
      <c r="C654" s="13">
        <f t="shared" si="23"/>
        <v>63248</v>
      </c>
      <c r="D654" s="14">
        <f>'Income Tracker Data'!V652</f>
        <v>0</v>
      </c>
      <c r="E654" s="15">
        <f>'Expense Tracker Data'!V652</f>
        <v>0</v>
      </c>
      <c r="F654" s="15">
        <f t="shared" si="22"/>
        <v>0</v>
      </c>
      <c r="G654" s="15" t="str">
        <f>IF(AND(D654&gt;0,E654&gt;0),G653+Bottom_Line_Table[[#This Row],[Difference]],"N/A")</f>
        <v>N/A</v>
      </c>
    </row>
    <row r="655" spans="2:7" x14ac:dyDescent="0.3">
      <c r="B655" s="12">
        <v>63249</v>
      </c>
      <c r="C655" s="13">
        <f t="shared" si="23"/>
        <v>63279</v>
      </c>
      <c r="D655" s="14">
        <f>'Income Tracker Data'!V653</f>
        <v>0</v>
      </c>
      <c r="E655" s="15">
        <f>'Expense Tracker Data'!V653</f>
        <v>0</v>
      </c>
      <c r="F655" s="15">
        <f t="shared" si="22"/>
        <v>0</v>
      </c>
      <c r="G655" s="15" t="str">
        <f>IF(AND(D655&gt;0,E655&gt;0),G654+Bottom_Line_Table[[#This Row],[Difference]],"N/A")</f>
        <v>N/A</v>
      </c>
    </row>
    <row r="656" spans="2:7" x14ac:dyDescent="0.3">
      <c r="B656" s="12">
        <v>63280</v>
      </c>
      <c r="C656" s="13">
        <f t="shared" si="23"/>
        <v>63309</v>
      </c>
      <c r="D656" s="14">
        <f>'Income Tracker Data'!V654</f>
        <v>0</v>
      </c>
      <c r="E656" s="15">
        <f>'Expense Tracker Data'!V654</f>
        <v>0</v>
      </c>
      <c r="F656" s="15">
        <f t="shared" si="22"/>
        <v>0</v>
      </c>
      <c r="G656" s="15" t="str">
        <f>IF(AND(D656&gt;0,E656&gt;0),G655+Bottom_Line_Table[[#This Row],[Difference]],"N/A")</f>
        <v>N/A</v>
      </c>
    </row>
    <row r="657" spans="2:7" x14ac:dyDescent="0.3">
      <c r="B657" s="12">
        <v>63310</v>
      </c>
      <c r="C657" s="13">
        <f t="shared" si="23"/>
        <v>63340</v>
      </c>
      <c r="D657" s="14">
        <f>'Income Tracker Data'!V655</f>
        <v>0</v>
      </c>
      <c r="E657" s="15">
        <f>'Expense Tracker Data'!V655</f>
        <v>0</v>
      </c>
      <c r="F657" s="15">
        <f t="shared" si="22"/>
        <v>0</v>
      </c>
      <c r="G657" s="15" t="str">
        <f>IF(AND(D657&gt;0,E657&gt;0),G656+Bottom_Line_Table[[#This Row],[Difference]],"N/A")</f>
        <v>N/A</v>
      </c>
    </row>
    <row r="658" spans="2:7" x14ac:dyDescent="0.3">
      <c r="B658" s="12">
        <v>63341</v>
      </c>
      <c r="C658" s="13">
        <f t="shared" si="23"/>
        <v>63370</v>
      </c>
      <c r="D658" s="14">
        <f>'Income Tracker Data'!V656</f>
        <v>0</v>
      </c>
      <c r="E658" s="15">
        <f>'Expense Tracker Data'!V656</f>
        <v>0</v>
      </c>
      <c r="F658" s="15">
        <f t="shared" si="22"/>
        <v>0</v>
      </c>
      <c r="G658" s="15" t="str">
        <f>IF(AND(D658&gt;0,E658&gt;0),G657+Bottom_Line_Table[[#This Row],[Difference]],"N/A")</f>
        <v>N/A</v>
      </c>
    </row>
    <row r="659" spans="2:7" x14ac:dyDescent="0.3">
      <c r="B659" s="12">
        <v>63371</v>
      </c>
      <c r="C659" s="13">
        <f t="shared" si="23"/>
        <v>63401</v>
      </c>
      <c r="D659" s="14">
        <f>'Income Tracker Data'!V657</f>
        <v>0</v>
      </c>
      <c r="E659" s="15">
        <f>'Expense Tracker Data'!V657</f>
        <v>0</v>
      </c>
      <c r="F659" s="15">
        <f t="shared" si="22"/>
        <v>0</v>
      </c>
      <c r="G659" s="15" t="str">
        <f>IF(AND(D659&gt;0,E659&gt;0),G658+Bottom_Line_Table[[#This Row],[Difference]],"N/A")</f>
        <v>N/A</v>
      </c>
    </row>
    <row r="660" spans="2:7" x14ac:dyDescent="0.3">
      <c r="B660" s="12">
        <v>63402</v>
      </c>
      <c r="C660" s="13">
        <f t="shared" si="23"/>
        <v>63432</v>
      </c>
      <c r="D660" s="14">
        <f>'Income Tracker Data'!V658</f>
        <v>0</v>
      </c>
      <c r="E660" s="15">
        <f>'Expense Tracker Data'!V658</f>
        <v>0</v>
      </c>
      <c r="F660" s="15">
        <f t="shared" si="22"/>
        <v>0</v>
      </c>
      <c r="G660" s="15" t="str">
        <f>IF(AND(D660&gt;0,E660&gt;0),G659+Bottom_Line_Table[[#This Row],[Difference]],"N/A")</f>
        <v>N/A</v>
      </c>
    </row>
    <row r="661" spans="2:7" x14ac:dyDescent="0.3">
      <c r="B661" s="12">
        <v>63433</v>
      </c>
      <c r="C661" s="13">
        <f t="shared" si="23"/>
        <v>63462</v>
      </c>
      <c r="D661" s="14">
        <f>'Income Tracker Data'!V659</f>
        <v>0</v>
      </c>
      <c r="E661" s="15">
        <f>'Expense Tracker Data'!V659</f>
        <v>0</v>
      </c>
      <c r="F661" s="15">
        <f t="shared" si="22"/>
        <v>0</v>
      </c>
      <c r="G661" s="15" t="str">
        <f>IF(AND(D661&gt;0,E661&gt;0),G660+Bottom_Line_Table[[#This Row],[Difference]],"N/A")</f>
        <v>N/A</v>
      </c>
    </row>
    <row r="662" spans="2:7" x14ac:dyDescent="0.3">
      <c r="B662" s="12">
        <v>63463</v>
      </c>
      <c r="C662" s="13">
        <f t="shared" si="23"/>
        <v>63493</v>
      </c>
      <c r="D662" s="14">
        <f>'Income Tracker Data'!V660</f>
        <v>0</v>
      </c>
      <c r="E662" s="15">
        <f>'Expense Tracker Data'!V660</f>
        <v>0</v>
      </c>
      <c r="F662" s="15">
        <f t="shared" si="22"/>
        <v>0</v>
      </c>
      <c r="G662" s="15" t="str">
        <f>IF(AND(D662&gt;0,E662&gt;0),G661+Bottom_Line_Table[[#This Row],[Difference]],"N/A")</f>
        <v>N/A</v>
      </c>
    </row>
    <row r="663" spans="2:7" x14ac:dyDescent="0.3">
      <c r="B663" s="12">
        <v>63494</v>
      </c>
      <c r="C663" s="13">
        <f t="shared" si="23"/>
        <v>63523</v>
      </c>
      <c r="D663" s="14">
        <f>'Income Tracker Data'!V661</f>
        <v>0</v>
      </c>
      <c r="E663" s="15">
        <f>'Expense Tracker Data'!V661</f>
        <v>0</v>
      </c>
      <c r="F663" s="15">
        <f t="shared" si="22"/>
        <v>0</v>
      </c>
      <c r="G663" s="15" t="str">
        <f>IF(AND(D663&gt;0,E663&gt;0),G662+Bottom_Line_Table[[#This Row],[Difference]],"N/A")</f>
        <v>N/A</v>
      </c>
    </row>
    <row r="664" spans="2:7" x14ac:dyDescent="0.3">
      <c r="B664" s="12">
        <v>63524</v>
      </c>
      <c r="C664" s="13">
        <f t="shared" si="23"/>
        <v>63554</v>
      </c>
      <c r="D664" s="14">
        <f>'Income Tracker Data'!V662</f>
        <v>0</v>
      </c>
      <c r="E664" s="15">
        <f>'Expense Tracker Data'!V662</f>
        <v>0</v>
      </c>
      <c r="F664" s="15">
        <f t="shared" si="22"/>
        <v>0</v>
      </c>
      <c r="G664" s="15" t="str">
        <f>IF(AND(D664&gt;0,E664&gt;0),G663+Bottom_Line_Table[[#This Row],[Difference]],"N/A")</f>
        <v>N/A</v>
      </c>
    </row>
    <row r="665" spans="2:7" x14ac:dyDescent="0.3">
      <c r="B665" s="12">
        <v>63555</v>
      </c>
      <c r="C665" s="13">
        <f t="shared" si="23"/>
        <v>63585</v>
      </c>
      <c r="D665" s="14">
        <f>'Income Tracker Data'!V663</f>
        <v>0</v>
      </c>
      <c r="E665" s="15">
        <f>'Expense Tracker Data'!V663</f>
        <v>0</v>
      </c>
      <c r="F665" s="15">
        <f t="shared" si="22"/>
        <v>0</v>
      </c>
      <c r="G665" s="15" t="str">
        <f>IF(AND(D665&gt;0,E665&gt;0),G664+Bottom_Line_Table[[#This Row],[Difference]],"N/A")</f>
        <v>N/A</v>
      </c>
    </row>
    <row r="666" spans="2:7" x14ac:dyDescent="0.3">
      <c r="B666" s="12">
        <v>63586</v>
      </c>
      <c r="C666" s="13">
        <f t="shared" si="23"/>
        <v>63613</v>
      </c>
      <c r="D666" s="14">
        <f>'Income Tracker Data'!V664</f>
        <v>0</v>
      </c>
      <c r="E666" s="15">
        <f>'Expense Tracker Data'!V664</f>
        <v>0</v>
      </c>
      <c r="F666" s="15">
        <f t="shared" si="22"/>
        <v>0</v>
      </c>
      <c r="G666" s="15" t="str">
        <f>IF(AND(D666&gt;0,E666&gt;0),G665+Bottom_Line_Table[[#This Row],[Difference]],"N/A")</f>
        <v>N/A</v>
      </c>
    </row>
    <row r="667" spans="2:7" x14ac:dyDescent="0.3">
      <c r="B667" s="12">
        <v>63614</v>
      </c>
      <c r="C667" s="13">
        <f t="shared" si="23"/>
        <v>63644</v>
      </c>
      <c r="D667" s="14">
        <f>'Income Tracker Data'!V665</f>
        <v>0</v>
      </c>
      <c r="E667" s="15">
        <f>'Expense Tracker Data'!V665</f>
        <v>0</v>
      </c>
      <c r="F667" s="15">
        <f t="shared" si="22"/>
        <v>0</v>
      </c>
      <c r="G667" s="15" t="str">
        <f>IF(AND(D667&gt;0,E667&gt;0),G666+Bottom_Line_Table[[#This Row],[Difference]],"N/A")</f>
        <v>N/A</v>
      </c>
    </row>
    <row r="668" spans="2:7" x14ac:dyDescent="0.3">
      <c r="B668" s="12">
        <v>63645</v>
      </c>
      <c r="C668" s="13">
        <f t="shared" si="23"/>
        <v>63674</v>
      </c>
      <c r="D668" s="14">
        <f>'Income Tracker Data'!V666</f>
        <v>0</v>
      </c>
      <c r="E668" s="15">
        <f>'Expense Tracker Data'!V666</f>
        <v>0</v>
      </c>
      <c r="F668" s="15">
        <f t="shared" si="22"/>
        <v>0</v>
      </c>
      <c r="G668" s="15" t="str">
        <f>IF(AND(D668&gt;0,E668&gt;0),G667+Bottom_Line_Table[[#This Row],[Difference]],"N/A")</f>
        <v>N/A</v>
      </c>
    </row>
    <row r="669" spans="2:7" x14ac:dyDescent="0.3">
      <c r="B669" s="12">
        <v>63675</v>
      </c>
      <c r="C669" s="13">
        <f t="shared" si="23"/>
        <v>63705</v>
      </c>
      <c r="D669" s="14">
        <f>'Income Tracker Data'!V667</f>
        <v>0</v>
      </c>
      <c r="E669" s="15">
        <f>'Expense Tracker Data'!V667</f>
        <v>0</v>
      </c>
      <c r="F669" s="15">
        <f t="shared" si="22"/>
        <v>0</v>
      </c>
      <c r="G669" s="15" t="str">
        <f>IF(AND(D669&gt;0,E669&gt;0),G668+Bottom_Line_Table[[#This Row],[Difference]],"N/A")</f>
        <v>N/A</v>
      </c>
    </row>
    <row r="670" spans="2:7" x14ac:dyDescent="0.3">
      <c r="B670" s="12">
        <v>63706</v>
      </c>
      <c r="C670" s="13">
        <f t="shared" si="23"/>
        <v>63735</v>
      </c>
      <c r="D670" s="14">
        <f>'Income Tracker Data'!V668</f>
        <v>0</v>
      </c>
      <c r="E670" s="15">
        <f>'Expense Tracker Data'!V668</f>
        <v>0</v>
      </c>
      <c r="F670" s="15">
        <f t="shared" si="22"/>
        <v>0</v>
      </c>
      <c r="G670" s="15" t="str">
        <f>IF(AND(D670&gt;0,E670&gt;0),G669+Bottom_Line_Table[[#This Row],[Difference]],"N/A")</f>
        <v>N/A</v>
      </c>
    </row>
    <row r="671" spans="2:7" x14ac:dyDescent="0.3">
      <c r="B671" s="12">
        <v>63736</v>
      </c>
      <c r="C671" s="13">
        <f t="shared" si="23"/>
        <v>63766</v>
      </c>
      <c r="D671" s="14">
        <f>'Income Tracker Data'!V669</f>
        <v>0</v>
      </c>
      <c r="E671" s="15">
        <f>'Expense Tracker Data'!V669</f>
        <v>0</v>
      </c>
      <c r="F671" s="15">
        <f t="shared" si="22"/>
        <v>0</v>
      </c>
      <c r="G671" s="15" t="str">
        <f>IF(AND(D671&gt;0,E671&gt;0),G670+Bottom_Line_Table[[#This Row],[Difference]],"N/A")</f>
        <v>N/A</v>
      </c>
    </row>
    <row r="672" spans="2:7" x14ac:dyDescent="0.3">
      <c r="B672" s="12">
        <v>63767</v>
      </c>
      <c r="C672" s="13">
        <f t="shared" si="23"/>
        <v>63797</v>
      </c>
      <c r="D672" s="14">
        <f>'Income Tracker Data'!V670</f>
        <v>0</v>
      </c>
      <c r="E672" s="15">
        <f>'Expense Tracker Data'!V670</f>
        <v>0</v>
      </c>
      <c r="F672" s="15">
        <f t="shared" si="22"/>
        <v>0</v>
      </c>
      <c r="G672" s="15" t="str">
        <f>IF(AND(D672&gt;0,E672&gt;0),G671+Bottom_Line_Table[[#This Row],[Difference]],"N/A")</f>
        <v>N/A</v>
      </c>
    </row>
    <row r="673" spans="2:7" x14ac:dyDescent="0.3">
      <c r="B673" s="12">
        <v>63798</v>
      </c>
      <c r="C673" s="13">
        <f t="shared" si="23"/>
        <v>63827</v>
      </c>
      <c r="D673" s="14">
        <f>'Income Tracker Data'!V671</f>
        <v>0</v>
      </c>
      <c r="E673" s="15">
        <f>'Expense Tracker Data'!V671</f>
        <v>0</v>
      </c>
      <c r="F673" s="15">
        <f t="shared" si="22"/>
        <v>0</v>
      </c>
      <c r="G673" s="15" t="str">
        <f>IF(AND(D673&gt;0,E673&gt;0),G672+Bottom_Line_Table[[#This Row],[Difference]],"N/A")</f>
        <v>N/A</v>
      </c>
    </row>
    <row r="674" spans="2:7" x14ac:dyDescent="0.3">
      <c r="B674" s="12">
        <v>63828</v>
      </c>
      <c r="C674" s="13">
        <f t="shared" si="23"/>
        <v>63858</v>
      </c>
      <c r="D674" s="14">
        <f>'Income Tracker Data'!V672</f>
        <v>0</v>
      </c>
      <c r="E674" s="15">
        <f>'Expense Tracker Data'!V672</f>
        <v>0</v>
      </c>
      <c r="F674" s="15">
        <f t="shared" si="22"/>
        <v>0</v>
      </c>
      <c r="G674" s="15" t="str">
        <f>IF(AND(D674&gt;0,E674&gt;0),G673+Bottom_Line_Table[[#This Row],[Difference]],"N/A")</f>
        <v>N/A</v>
      </c>
    </row>
    <row r="675" spans="2:7" x14ac:dyDescent="0.3">
      <c r="B675" s="12">
        <v>63859</v>
      </c>
      <c r="C675" s="13">
        <f t="shared" si="23"/>
        <v>63888</v>
      </c>
      <c r="D675" s="14">
        <f>'Income Tracker Data'!V673</f>
        <v>0</v>
      </c>
      <c r="E675" s="15">
        <f>'Expense Tracker Data'!V673</f>
        <v>0</v>
      </c>
      <c r="F675" s="15">
        <f t="shared" si="22"/>
        <v>0</v>
      </c>
      <c r="G675" s="15" t="str">
        <f>IF(AND(D675&gt;0,E675&gt;0),G674+Bottom_Line_Table[[#This Row],[Difference]],"N/A")</f>
        <v>N/A</v>
      </c>
    </row>
    <row r="676" spans="2:7" x14ac:dyDescent="0.3">
      <c r="B676" s="12">
        <v>63889</v>
      </c>
      <c r="C676" s="13">
        <f t="shared" si="23"/>
        <v>63919</v>
      </c>
      <c r="D676" s="14">
        <f>'Income Tracker Data'!V674</f>
        <v>0</v>
      </c>
      <c r="E676" s="15">
        <f>'Expense Tracker Data'!V674</f>
        <v>0</v>
      </c>
      <c r="F676" s="15">
        <f t="shared" si="22"/>
        <v>0</v>
      </c>
      <c r="G676" s="15" t="str">
        <f>IF(AND(D676&gt;0,E676&gt;0),G675+Bottom_Line_Table[[#This Row],[Difference]],"N/A")</f>
        <v>N/A</v>
      </c>
    </row>
    <row r="677" spans="2:7" x14ac:dyDescent="0.3">
      <c r="B677" s="12">
        <v>63920</v>
      </c>
      <c r="C677" s="13">
        <f t="shared" si="23"/>
        <v>63950</v>
      </c>
      <c r="D677" s="14">
        <f>'Income Tracker Data'!V675</f>
        <v>0</v>
      </c>
      <c r="E677" s="15">
        <f>'Expense Tracker Data'!V675</f>
        <v>0</v>
      </c>
      <c r="F677" s="15">
        <f t="shared" si="22"/>
        <v>0</v>
      </c>
      <c r="G677" s="15" t="str">
        <f>IF(AND(D677&gt;0,E677&gt;0),G676+Bottom_Line_Table[[#This Row],[Difference]],"N/A")</f>
        <v>N/A</v>
      </c>
    </row>
    <row r="678" spans="2:7" x14ac:dyDescent="0.3">
      <c r="B678" s="12">
        <v>63951</v>
      </c>
      <c r="C678" s="13">
        <f t="shared" si="23"/>
        <v>63978</v>
      </c>
      <c r="D678" s="14">
        <f>'Income Tracker Data'!V676</f>
        <v>0</v>
      </c>
      <c r="E678" s="15">
        <f>'Expense Tracker Data'!V676</f>
        <v>0</v>
      </c>
      <c r="F678" s="15">
        <f t="shared" si="22"/>
        <v>0</v>
      </c>
      <c r="G678" s="15" t="str">
        <f>IF(AND(D678&gt;0,E678&gt;0),G677+Bottom_Line_Table[[#This Row],[Difference]],"N/A")</f>
        <v>N/A</v>
      </c>
    </row>
    <row r="679" spans="2:7" x14ac:dyDescent="0.3">
      <c r="B679" s="12">
        <v>63979</v>
      </c>
      <c r="C679" s="13">
        <f t="shared" si="23"/>
        <v>64009</v>
      </c>
      <c r="D679" s="14">
        <f>'Income Tracker Data'!V677</f>
        <v>0</v>
      </c>
      <c r="E679" s="15">
        <f>'Expense Tracker Data'!V677</f>
        <v>0</v>
      </c>
      <c r="F679" s="15">
        <f t="shared" si="22"/>
        <v>0</v>
      </c>
      <c r="G679" s="15" t="str">
        <f>IF(AND(D679&gt;0,E679&gt;0),G678+Bottom_Line_Table[[#This Row],[Difference]],"N/A")</f>
        <v>N/A</v>
      </c>
    </row>
    <row r="680" spans="2:7" x14ac:dyDescent="0.3">
      <c r="B680" s="12">
        <v>64010</v>
      </c>
      <c r="C680" s="13">
        <f t="shared" si="23"/>
        <v>64039</v>
      </c>
      <c r="D680" s="14">
        <f>'Income Tracker Data'!V678</f>
        <v>0</v>
      </c>
      <c r="E680" s="15">
        <f>'Expense Tracker Data'!V678</f>
        <v>0</v>
      </c>
      <c r="F680" s="15">
        <f t="shared" si="22"/>
        <v>0</v>
      </c>
      <c r="G680" s="15" t="str">
        <f>IF(AND(D680&gt;0,E680&gt;0),G679+Bottom_Line_Table[[#This Row],[Difference]],"N/A")</f>
        <v>N/A</v>
      </c>
    </row>
    <row r="681" spans="2:7" x14ac:dyDescent="0.3">
      <c r="B681" s="12">
        <v>64040</v>
      </c>
      <c r="C681" s="13">
        <f t="shared" si="23"/>
        <v>64070</v>
      </c>
      <c r="D681" s="14">
        <f>'Income Tracker Data'!V679</f>
        <v>0</v>
      </c>
      <c r="E681" s="15">
        <f>'Expense Tracker Data'!V679</f>
        <v>0</v>
      </c>
      <c r="F681" s="15">
        <f t="shared" si="22"/>
        <v>0</v>
      </c>
      <c r="G681" s="15" t="str">
        <f>IF(AND(D681&gt;0,E681&gt;0),G680+Bottom_Line_Table[[#This Row],[Difference]],"N/A")</f>
        <v>N/A</v>
      </c>
    </row>
    <row r="682" spans="2:7" x14ac:dyDescent="0.3">
      <c r="B682" s="12">
        <v>64071</v>
      </c>
      <c r="C682" s="13">
        <f t="shared" si="23"/>
        <v>64100</v>
      </c>
      <c r="D682" s="14">
        <f>'Income Tracker Data'!V680</f>
        <v>0</v>
      </c>
      <c r="E682" s="15">
        <f>'Expense Tracker Data'!V680</f>
        <v>0</v>
      </c>
      <c r="F682" s="15">
        <f t="shared" si="22"/>
        <v>0</v>
      </c>
      <c r="G682" s="15" t="str">
        <f>IF(AND(D682&gt;0,E682&gt;0),G681+Bottom_Line_Table[[#This Row],[Difference]],"N/A")</f>
        <v>N/A</v>
      </c>
    </row>
    <row r="683" spans="2:7" x14ac:dyDescent="0.3">
      <c r="B683" s="12">
        <v>64101</v>
      </c>
      <c r="C683" s="13">
        <f t="shared" si="23"/>
        <v>64131</v>
      </c>
      <c r="D683" s="14">
        <f>'Income Tracker Data'!V681</f>
        <v>0</v>
      </c>
      <c r="E683" s="15">
        <f>'Expense Tracker Data'!V681</f>
        <v>0</v>
      </c>
      <c r="F683" s="15">
        <f t="shared" si="22"/>
        <v>0</v>
      </c>
      <c r="G683" s="15" t="str">
        <f>IF(AND(D683&gt;0,E683&gt;0),G682+Bottom_Line_Table[[#This Row],[Difference]],"N/A")</f>
        <v>N/A</v>
      </c>
    </row>
    <row r="684" spans="2:7" x14ac:dyDescent="0.3">
      <c r="B684" s="12">
        <v>64132</v>
      </c>
      <c r="C684" s="13">
        <f t="shared" si="23"/>
        <v>64162</v>
      </c>
      <c r="D684" s="14">
        <f>'Income Tracker Data'!V682</f>
        <v>0</v>
      </c>
      <c r="E684" s="15">
        <f>'Expense Tracker Data'!V682</f>
        <v>0</v>
      </c>
      <c r="F684" s="15">
        <f t="shared" si="22"/>
        <v>0</v>
      </c>
      <c r="G684" s="15" t="str">
        <f>IF(AND(D684&gt;0,E684&gt;0),G683+Bottom_Line_Table[[#This Row],[Difference]],"N/A")</f>
        <v>N/A</v>
      </c>
    </row>
    <row r="685" spans="2:7" x14ac:dyDescent="0.3">
      <c r="B685" s="12">
        <v>64163</v>
      </c>
      <c r="C685" s="13">
        <f t="shared" si="23"/>
        <v>64192</v>
      </c>
      <c r="D685" s="14">
        <f>'Income Tracker Data'!V683</f>
        <v>0</v>
      </c>
      <c r="E685" s="15">
        <f>'Expense Tracker Data'!V683</f>
        <v>0</v>
      </c>
      <c r="F685" s="15">
        <f t="shared" si="22"/>
        <v>0</v>
      </c>
      <c r="G685" s="15" t="str">
        <f>IF(AND(D685&gt;0,E685&gt;0),G684+Bottom_Line_Table[[#This Row],[Difference]],"N/A")</f>
        <v>N/A</v>
      </c>
    </row>
    <row r="686" spans="2:7" x14ac:dyDescent="0.3">
      <c r="B686" s="12">
        <v>64193</v>
      </c>
      <c r="C686" s="13">
        <f t="shared" si="23"/>
        <v>64223</v>
      </c>
      <c r="D686" s="14">
        <f>'Income Tracker Data'!V684</f>
        <v>0</v>
      </c>
      <c r="E686" s="15">
        <f>'Expense Tracker Data'!V684</f>
        <v>0</v>
      </c>
      <c r="F686" s="15">
        <f t="shared" si="22"/>
        <v>0</v>
      </c>
      <c r="G686" s="15" t="str">
        <f>IF(AND(D686&gt;0,E686&gt;0),G685+Bottom_Line_Table[[#This Row],[Difference]],"N/A")</f>
        <v>N/A</v>
      </c>
    </row>
    <row r="687" spans="2:7" x14ac:dyDescent="0.3">
      <c r="B687" s="12">
        <v>64224</v>
      </c>
      <c r="C687" s="13">
        <f t="shared" si="23"/>
        <v>64253</v>
      </c>
      <c r="D687" s="14">
        <f>'Income Tracker Data'!V685</f>
        <v>0</v>
      </c>
      <c r="E687" s="15">
        <f>'Expense Tracker Data'!V685</f>
        <v>0</v>
      </c>
      <c r="F687" s="15">
        <f t="shared" si="22"/>
        <v>0</v>
      </c>
      <c r="G687" s="15" t="str">
        <f>IF(AND(D687&gt;0,E687&gt;0),G686+Bottom_Line_Table[[#This Row],[Difference]],"N/A")</f>
        <v>N/A</v>
      </c>
    </row>
    <row r="688" spans="2:7" x14ac:dyDescent="0.3">
      <c r="B688" s="12">
        <v>64254</v>
      </c>
      <c r="C688" s="13">
        <f t="shared" si="23"/>
        <v>64284</v>
      </c>
      <c r="D688" s="14">
        <f>'Income Tracker Data'!V686</f>
        <v>0</v>
      </c>
      <c r="E688" s="15">
        <f>'Expense Tracker Data'!V686</f>
        <v>0</v>
      </c>
      <c r="F688" s="15">
        <f t="shared" si="22"/>
        <v>0</v>
      </c>
      <c r="G688" s="15" t="str">
        <f>IF(AND(D688&gt;0,E688&gt;0),G687+Bottom_Line_Table[[#This Row],[Difference]],"N/A")</f>
        <v>N/A</v>
      </c>
    </row>
    <row r="689" spans="2:7" x14ac:dyDescent="0.3">
      <c r="B689" s="12">
        <v>64285</v>
      </c>
      <c r="C689" s="13">
        <f t="shared" si="23"/>
        <v>64315</v>
      </c>
      <c r="D689" s="14">
        <f>'Income Tracker Data'!V687</f>
        <v>0</v>
      </c>
      <c r="E689" s="15">
        <f>'Expense Tracker Data'!V687</f>
        <v>0</v>
      </c>
      <c r="F689" s="15">
        <f t="shared" si="22"/>
        <v>0</v>
      </c>
      <c r="G689" s="15" t="str">
        <f>IF(AND(D689&gt;0,E689&gt;0),G688+Bottom_Line_Table[[#This Row],[Difference]],"N/A")</f>
        <v>N/A</v>
      </c>
    </row>
    <row r="690" spans="2:7" x14ac:dyDescent="0.3">
      <c r="B690" s="12">
        <v>64316</v>
      </c>
      <c r="C690" s="13">
        <f t="shared" si="23"/>
        <v>64344</v>
      </c>
      <c r="D690" s="14">
        <f>'Income Tracker Data'!V688</f>
        <v>0</v>
      </c>
      <c r="E690" s="15">
        <f>'Expense Tracker Data'!V688</f>
        <v>0</v>
      </c>
      <c r="F690" s="15">
        <f t="shared" si="22"/>
        <v>0</v>
      </c>
      <c r="G690" s="15" t="str">
        <f>IF(AND(D690&gt;0,E690&gt;0),G689+Bottom_Line_Table[[#This Row],[Difference]],"N/A")</f>
        <v>N/A</v>
      </c>
    </row>
    <row r="691" spans="2:7" x14ac:dyDescent="0.3">
      <c r="B691" s="12">
        <v>64345</v>
      </c>
      <c r="C691" s="13">
        <f t="shared" si="23"/>
        <v>64375</v>
      </c>
      <c r="D691" s="14">
        <f>'Income Tracker Data'!V689</f>
        <v>0</v>
      </c>
      <c r="E691" s="15">
        <f>'Expense Tracker Data'!V689</f>
        <v>0</v>
      </c>
      <c r="F691" s="15">
        <f t="shared" si="22"/>
        <v>0</v>
      </c>
      <c r="G691" s="15" t="str">
        <f>IF(AND(D691&gt;0,E691&gt;0),G690+Bottom_Line_Table[[#This Row],[Difference]],"N/A")</f>
        <v>N/A</v>
      </c>
    </row>
    <row r="692" spans="2:7" x14ac:dyDescent="0.3">
      <c r="B692" s="12">
        <v>64376</v>
      </c>
      <c r="C692" s="13">
        <f t="shared" si="23"/>
        <v>64405</v>
      </c>
      <c r="D692" s="14">
        <f>'Income Tracker Data'!V690</f>
        <v>0</v>
      </c>
      <c r="E692" s="15">
        <f>'Expense Tracker Data'!V690</f>
        <v>0</v>
      </c>
      <c r="F692" s="15">
        <f t="shared" si="22"/>
        <v>0</v>
      </c>
      <c r="G692" s="15" t="str">
        <f>IF(AND(D692&gt;0,E692&gt;0),G691+Bottom_Line_Table[[#This Row],[Difference]],"N/A")</f>
        <v>N/A</v>
      </c>
    </row>
    <row r="693" spans="2:7" x14ac:dyDescent="0.3">
      <c r="B693" s="12">
        <v>64406</v>
      </c>
      <c r="C693" s="13">
        <f t="shared" si="23"/>
        <v>64436</v>
      </c>
      <c r="D693" s="14">
        <f>'Income Tracker Data'!V691</f>
        <v>0</v>
      </c>
      <c r="E693" s="15">
        <f>'Expense Tracker Data'!V691</f>
        <v>0</v>
      </c>
      <c r="F693" s="15">
        <f t="shared" si="22"/>
        <v>0</v>
      </c>
      <c r="G693" s="15" t="str">
        <f>IF(AND(D693&gt;0,E693&gt;0),G692+Bottom_Line_Table[[#This Row],[Difference]],"N/A")</f>
        <v>N/A</v>
      </c>
    </row>
    <row r="694" spans="2:7" x14ac:dyDescent="0.3">
      <c r="B694" s="12">
        <v>64437</v>
      </c>
      <c r="C694" s="13">
        <f t="shared" si="23"/>
        <v>64466</v>
      </c>
      <c r="D694" s="14">
        <f>'Income Tracker Data'!V692</f>
        <v>0</v>
      </c>
      <c r="E694" s="15">
        <f>'Expense Tracker Data'!V692</f>
        <v>0</v>
      </c>
      <c r="F694" s="15">
        <f t="shared" si="22"/>
        <v>0</v>
      </c>
      <c r="G694" s="15" t="str">
        <f>IF(AND(D694&gt;0,E694&gt;0),G693+Bottom_Line_Table[[#This Row],[Difference]],"N/A")</f>
        <v>N/A</v>
      </c>
    </row>
    <row r="695" spans="2:7" x14ac:dyDescent="0.3">
      <c r="B695" s="12">
        <v>64467</v>
      </c>
      <c r="C695" s="13">
        <f t="shared" si="23"/>
        <v>64497</v>
      </c>
      <c r="D695" s="14">
        <f>'Income Tracker Data'!V693</f>
        <v>0</v>
      </c>
      <c r="E695" s="15">
        <f>'Expense Tracker Data'!V693</f>
        <v>0</v>
      </c>
      <c r="F695" s="15">
        <f t="shared" si="22"/>
        <v>0</v>
      </c>
      <c r="G695" s="15" t="str">
        <f>IF(AND(D695&gt;0,E695&gt;0),G694+Bottom_Line_Table[[#This Row],[Difference]],"N/A")</f>
        <v>N/A</v>
      </c>
    </row>
    <row r="696" spans="2:7" x14ac:dyDescent="0.3">
      <c r="B696" s="12">
        <v>64498</v>
      </c>
      <c r="C696" s="13">
        <f t="shared" si="23"/>
        <v>64528</v>
      </c>
      <c r="D696" s="14">
        <f>'Income Tracker Data'!V694</f>
        <v>0</v>
      </c>
      <c r="E696" s="15">
        <f>'Expense Tracker Data'!V694</f>
        <v>0</v>
      </c>
      <c r="F696" s="15">
        <f t="shared" si="22"/>
        <v>0</v>
      </c>
      <c r="G696" s="15" t="str">
        <f>IF(AND(D696&gt;0,E696&gt;0),G695+Bottom_Line_Table[[#This Row],[Difference]],"N/A")</f>
        <v>N/A</v>
      </c>
    </row>
    <row r="697" spans="2:7" x14ac:dyDescent="0.3">
      <c r="B697" s="12">
        <v>64529</v>
      </c>
      <c r="C697" s="13">
        <f t="shared" si="23"/>
        <v>64558</v>
      </c>
      <c r="D697" s="14">
        <f>'Income Tracker Data'!V695</f>
        <v>0</v>
      </c>
      <c r="E697" s="15">
        <f>'Expense Tracker Data'!V695</f>
        <v>0</v>
      </c>
      <c r="F697" s="15">
        <f t="shared" si="22"/>
        <v>0</v>
      </c>
      <c r="G697" s="15" t="str">
        <f>IF(AND(D697&gt;0,E697&gt;0),G696+Bottom_Line_Table[[#This Row],[Difference]],"N/A")</f>
        <v>N/A</v>
      </c>
    </row>
    <row r="698" spans="2:7" x14ac:dyDescent="0.3">
      <c r="B698" s="12">
        <v>64559</v>
      </c>
      <c r="C698" s="13">
        <f t="shared" si="23"/>
        <v>64589</v>
      </c>
      <c r="D698" s="14">
        <f>'Income Tracker Data'!V696</f>
        <v>0</v>
      </c>
      <c r="E698" s="15">
        <f>'Expense Tracker Data'!V696</f>
        <v>0</v>
      </c>
      <c r="F698" s="15">
        <f t="shared" si="22"/>
        <v>0</v>
      </c>
      <c r="G698" s="15" t="str">
        <f>IF(AND(D698&gt;0,E698&gt;0),G697+Bottom_Line_Table[[#This Row],[Difference]],"N/A")</f>
        <v>N/A</v>
      </c>
    </row>
    <row r="699" spans="2:7" x14ac:dyDescent="0.3">
      <c r="B699" s="12">
        <v>64590</v>
      </c>
      <c r="C699" s="13">
        <f t="shared" si="23"/>
        <v>64619</v>
      </c>
      <c r="D699" s="14">
        <f>'Income Tracker Data'!V697</f>
        <v>0</v>
      </c>
      <c r="E699" s="15">
        <f>'Expense Tracker Data'!V697</f>
        <v>0</v>
      </c>
      <c r="F699" s="15">
        <f t="shared" si="22"/>
        <v>0</v>
      </c>
      <c r="G699" s="15" t="str">
        <f>IF(AND(D699&gt;0,E699&gt;0),G698+Bottom_Line_Table[[#This Row],[Difference]],"N/A")</f>
        <v>N/A</v>
      </c>
    </row>
    <row r="700" spans="2:7" x14ac:dyDescent="0.3">
      <c r="B700" s="12">
        <v>64620</v>
      </c>
      <c r="C700" s="13">
        <f t="shared" si="23"/>
        <v>64650</v>
      </c>
      <c r="D700" s="14">
        <f>'Income Tracker Data'!V698</f>
        <v>0</v>
      </c>
      <c r="E700" s="15">
        <f>'Expense Tracker Data'!V698</f>
        <v>0</v>
      </c>
      <c r="F700" s="15">
        <f t="shared" si="22"/>
        <v>0</v>
      </c>
      <c r="G700" s="15" t="str">
        <f>IF(AND(D700&gt;0,E700&gt;0),G699+Bottom_Line_Table[[#This Row],[Difference]],"N/A")</f>
        <v>N/A</v>
      </c>
    </row>
    <row r="701" spans="2:7" x14ac:dyDescent="0.3">
      <c r="B701" s="12">
        <v>64651</v>
      </c>
      <c r="C701" s="13">
        <f t="shared" si="23"/>
        <v>64681</v>
      </c>
      <c r="D701" s="14">
        <f>'Income Tracker Data'!V699</f>
        <v>0</v>
      </c>
      <c r="E701" s="15">
        <f>'Expense Tracker Data'!V699</f>
        <v>0</v>
      </c>
      <c r="F701" s="15">
        <f t="shared" si="22"/>
        <v>0</v>
      </c>
      <c r="G701" s="15" t="str">
        <f>IF(AND(D701&gt;0,E701&gt;0),G700+Bottom_Line_Table[[#This Row],[Difference]],"N/A")</f>
        <v>N/A</v>
      </c>
    </row>
    <row r="702" spans="2:7" x14ac:dyDescent="0.3">
      <c r="B702" s="12">
        <v>64682</v>
      </c>
      <c r="C702" s="13">
        <f t="shared" si="23"/>
        <v>64709</v>
      </c>
      <c r="D702" s="14">
        <f>'Income Tracker Data'!V700</f>
        <v>0</v>
      </c>
      <c r="E702" s="15">
        <f>'Expense Tracker Data'!V700</f>
        <v>0</v>
      </c>
      <c r="F702" s="15">
        <f t="shared" si="22"/>
        <v>0</v>
      </c>
      <c r="G702" s="15" t="str">
        <f>IF(AND(D702&gt;0,E702&gt;0),G701+Bottom_Line_Table[[#This Row],[Difference]],"N/A")</f>
        <v>N/A</v>
      </c>
    </row>
    <row r="703" spans="2:7" x14ac:dyDescent="0.3">
      <c r="B703" s="12">
        <v>64710</v>
      </c>
      <c r="C703" s="13">
        <f t="shared" si="23"/>
        <v>64740</v>
      </c>
      <c r="D703" s="14">
        <f>'Income Tracker Data'!V701</f>
        <v>0</v>
      </c>
      <c r="E703" s="15">
        <f>'Expense Tracker Data'!V701</f>
        <v>0</v>
      </c>
      <c r="F703" s="15">
        <f t="shared" si="22"/>
        <v>0</v>
      </c>
      <c r="G703" s="15" t="str">
        <f>IF(AND(D703&gt;0,E703&gt;0),G702+Bottom_Line_Table[[#This Row],[Difference]],"N/A")</f>
        <v>N/A</v>
      </c>
    </row>
    <row r="704" spans="2:7" x14ac:dyDescent="0.3">
      <c r="B704" s="12">
        <v>64741</v>
      </c>
      <c r="C704" s="13">
        <f t="shared" si="23"/>
        <v>64770</v>
      </c>
      <c r="D704" s="14">
        <f>'Income Tracker Data'!V702</f>
        <v>0</v>
      </c>
      <c r="E704" s="15">
        <f>'Expense Tracker Data'!V702</f>
        <v>0</v>
      </c>
      <c r="F704" s="15">
        <f t="shared" si="22"/>
        <v>0</v>
      </c>
      <c r="G704" s="15" t="str">
        <f>IF(AND(D704&gt;0,E704&gt;0),G703+Bottom_Line_Table[[#This Row],[Difference]],"N/A")</f>
        <v>N/A</v>
      </c>
    </row>
    <row r="705" spans="2:7" x14ac:dyDescent="0.3">
      <c r="B705" s="12">
        <v>64771</v>
      </c>
      <c r="C705" s="13">
        <f t="shared" si="23"/>
        <v>64801</v>
      </c>
      <c r="D705" s="14">
        <f>'Income Tracker Data'!V703</f>
        <v>0</v>
      </c>
      <c r="E705" s="15">
        <f>'Expense Tracker Data'!V703</f>
        <v>0</v>
      </c>
      <c r="F705" s="15">
        <f t="shared" si="22"/>
        <v>0</v>
      </c>
      <c r="G705" s="15" t="str">
        <f>IF(AND(D705&gt;0,E705&gt;0),G704+Bottom_Line_Table[[#This Row],[Difference]],"N/A")</f>
        <v>N/A</v>
      </c>
    </row>
    <row r="706" spans="2:7" x14ac:dyDescent="0.3">
      <c r="B706" s="12">
        <v>64802</v>
      </c>
      <c r="C706" s="13">
        <f t="shared" si="23"/>
        <v>64831</v>
      </c>
      <c r="D706" s="14">
        <f>'Income Tracker Data'!V704</f>
        <v>0</v>
      </c>
      <c r="E706" s="15">
        <f>'Expense Tracker Data'!V704</f>
        <v>0</v>
      </c>
      <c r="F706" s="15">
        <f t="shared" si="22"/>
        <v>0</v>
      </c>
      <c r="G706" s="15" t="str">
        <f>IF(AND(D706&gt;0,E706&gt;0),G705+Bottom_Line_Table[[#This Row],[Difference]],"N/A")</f>
        <v>N/A</v>
      </c>
    </row>
    <row r="707" spans="2:7" x14ac:dyDescent="0.3">
      <c r="B707" s="12">
        <v>64832</v>
      </c>
      <c r="C707" s="13">
        <f t="shared" si="23"/>
        <v>64862</v>
      </c>
      <c r="D707" s="14">
        <f>'Income Tracker Data'!V705</f>
        <v>0</v>
      </c>
      <c r="E707" s="15">
        <f>'Expense Tracker Data'!V705</f>
        <v>0</v>
      </c>
      <c r="F707" s="15">
        <f t="shared" si="22"/>
        <v>0</v>
      </c>
      <c r="G707" s="15" t="str">
        <f>IF(AND(D707&gt;0,E707&gt;0),G706+Bottom_Line_Table[[#This Row],[Difference]],"N/A")</f>
        <v>N/A</v>
      </c>
    </row>
    <row r="708" spans="2:7" x14ac:dyDescent="0.3">
      <c r="B708" s="12">
        <v>64863</v>
      </c>
      <c r="C708" s="13">
        <f t="shared" si="23"/>
        <v>64893</v>
      </c>
      <c r="D708" s="14">
        <f>'Income Tracker Data'!V706</f>
        <v>0</v>
      </c>
      <c r="E708" s="15">
        <f>'Expense Tracker Data'!V706</f>
        <v>0</v>
      </c>
      <c r="F708" s="15">
        <f t="shared" si="22"/>
        <v>0</v>
      </c>
      <c r="G708" s="15" t="str">
        <f>IF(AND(D708&gt;0,E708&gt;0),G707+Bottom_Line_Table[[#This Row],[Difference]],"N/A")</f>
        <v>N/A</v>
      </c>
    </row>
    <row r="709" spans="2:7" x14ac:dyDescent="0.3">
      <c r="B709" s="12">
        <v>64894</v>
      </c>
      <c r="C709" s="13">
        <f t="shared" si="23"/>
        <v>64923</v>
      </c>
      <c r="D709" s="14">
        <f>'Income Tracker Data'!V707</f>
        <v>0</v>
      </c>
      <c r="E709" s="15">
        <f>'Expense Tracker Data'!V707</f>
        <v>0</v>
      </c>
      <c r="F709" s="15">
        <f t="shared" si="22"/>
        <v>0</v>
      </c>
      <c r="G709" s="15" t="str">
        <f>IF(AND(D709&gt;0,E709&gt;0),G708+Bottom_Line_Table[[#This Row],[Difference]],"N/A")</f>
        <v>N/A</v>
      </c>
    </row>
    <row r="710" spans="2:7" x14ac:dyDescent="0.3">
      <c r="B710" s="12">
        <v>64924</v>
      </c>
      <c r="C710" s="13">
        <f t="shared" si="23"/>
        <v>64954</v>
      </c>
      <c r="D710" s="14">
        <f>'Income Tracker Data'!V708</f>
        <v>0</v>
      </c>
      <c r="E710" s="15">
        <f>'Expense Tracker Data'!V708</f>
        <v>0</v>
      </c>
      <c r="F710" s="15">
        <f t="shared" ref="F710:F773" si="24">D710-E710</f>
        <v>0</v>
      </c>
      <c r="G710" s="15" t="str">
        <f>IF(AND(D710&gt;0,E710&gt;0),G709+Bottom_Line_Table[[#This Row],[Difference]],"N/A")</f>
        <v>N/A</v>
      </c>
    </row>
    <row r="711" spans="2:7" x14ac:dyDescent="0.3">
      <c r="B711" s="12">
        <v>64955</v>
      </c>
      <c r="C711" s="13">
        <f t="shared" si="23"/>
        <v>64984</v>
      </c>
      <c r="D711" s="14">
        <f>'Income Tracker Data'!V709</f>
        <v>0</v>
      </c>
      <c r="E711" s="15">
        <f>'Expense Tracker Data'!V709</f>
        <v>0</v>
      </c>
      <c r="F711" s="15">
        <f t="shared" si="24"/>
        <v>0</v>
      </c>
      <c r="G711" s="15" t="str">
        <f>IF(AND(D711&gt;0,E711&gt;0),G710+Bottom_Line_Table[[#This Row],[Difference]],"N/A")</f>
        <v>N/A</v>
      </c>
    </row>
    <row r="712" spans="2:7" x14ac:dyDescent="0.3">
      <c r="B712" s="12">
        <v>64985</v>
      </c>
      <c r="C712" s="13">
        <f t="shared" si="23"/>
        <v>65015</v>
      </c>
      <c r="D712" s="14">
        <f>'Income Tracker Data'!V710</f>
        <v>0</v>
      </c>
      <c r="E712" s="15">
        <f>'Expense Tracker Data'!V710</f>
        <v>0</v>
      </c>
      <c r="F712" s="15">
        <f t="shared" si="24"/>
        <v>0</v>
      </c>
      <c r="G712" s="15" t="str">
        <f>IF(AND(D712&gt;0,E712&gt;0),G711+Bottom_Line_Table[[#This Row],[Difference]],"N/A")</f>
        <v>N/A</v>
      </c>
    </row>
    <row r="713" spans="2:7" x14ac:dyDescent="0.3">
      <c r="B713" s="12">
        <v>65016</v>
      </c>
      <c r="C713" s="13">
        <f t="shared" si="23"/>
        <v>65046</v>
      </c>
      <c r="D713" s="14">
        <f>'Income Tracker Data'!V711</f>
        <v>0</v>
      </c>
      <c r="E713" s="15">
        <f>'Expense Tracker Data'!V711</f>
        <v>0</v>
      </c>
      <c r="F713" s="15">
        <f t="shared" si="24"/>
        <v>0</v>
      </c>
      <c r="G713" s="15" t="str">
        <f>IF(AND(D713&gt;0,E713&gt;0),G712+Bottom_Line_Table[[#This Row],[Difference]],"N/A")</f>
        <v>N/A</v>
      </c>
    </row>
    <row r="714" spans="2:7" x14ac:dyDescent="0.3">
      <c r="B714" s="12">
        <v>65047</v>
      </c>
      <c r="C714" s="13">
        <f t="shared" si="23"/>
        <v>65074</v>
      </c>
      <c r="D714" s="14">
        <f>'Income Tracker Data'!V712</f>
        <v>0</v>
      </c>
      <c r="E714" s="15">
        <f>'Expense Tracker Data'!V712</f>
        <v>0</v>
      </c>
      <c r="F714" s="15">
        <f t="shared" si="24"/>
        <v>0</v>
      </c>
      <c r="G714" s="15" t="str">
        <f>IF(AND(D714&gt;0,E714&gt;0),G713+Bottom_Line_Table[[#This Row],[Difference]],"N/A")</f>
        <v>N/A</v>
      </c>
    </row>
    <row r="715" spans="2:7" x14ac:dyDescent="0.3">
      <c r="B715" s="12">
        <v>65075</v>
      </c>
      <c r="C715" s="13">
        <f t="shared" ref="C715:C778" si="25">EOMONTH(B715,0)</f>
        <v>65105</v>
      </c>
      <c r="D715" s="14">
        <f>'Income Tracker Data'!V713</f>
        <v>0</v>
      </c>
      <c r="E715" s="15">
        <f>'Expense Tracker Data'!V713</f>
        <v>0</v>
      </c>
      <c r="F715" s="15">
        <f t="shared" si="24"/>
        <v>0</v>
      </c>
      <c r="G715" s="15" t="str">
        <f>IF(AND(D715&gt;0,E715&gt;0),G714+Bottom_Line_Table[[#This Row],[Difference]],"N/A")</f>
        <v>N/A</v>
      </c>
    </row>
    <row r="716" spans="2:7" x14ac:dyDescent="0.3">
      <c r="B716" s="12">
        <v>65106</v>
      </c>
      <c r="C716" s="13">
        <f t="shared" si="25"/>
        <v>65135</v>
      </c>
      <c r="D716" s="14">
        <f>'Income Tracker Data'!V714</f>
        <v>0</v>
      </c>
      <c r="E716" s="15">
        <f>'Expense Tracker Data'!V714</f>
        <v>0</v>
      </c>
      <c r="F716" s="15">
        <f t="shared" si="24"/>
        <v>0</v>
      </c>
      <c r="G716" s="15" t="str">
        <f>IF(AND(D716&gt;0,E716&gt;0),G715+Bottom_Line_Table[[#This Row],[Difference]],"N/A")</f>
        <v>N/A</v>
      </c>
    </row>
    <row r="717" spans="2:7" x14ac:dyDescent="0.3">
      <c r="B717" s="12">
        <v>65136</v>
      </c>
      <c r="C717" s="13">
        <f t="shared" si="25"/>
        <v>65166</v>
      </c>
      <c r="D717" s="14">
        <f>'Income Tracker Data'!V715</f>
        <v>0</v>
      </c>
      <c r="E717" s="15">
        <f>'Expense Tracker Data'!V715</f>
        <v>0</v>
      </c>
      <c r="F717" s="15">
        <f t="shared" si="24"/>
        <v>0</v>
      </c>
      <c r="G717" s="15" t="str">
        <f>IF(AND(D717&gt;0,E717&gt;0),G716+Bottom_Line_Table[[#This Row],[Difference]],"N/A")</f>
        <v>N/A</v>
      </c>
    </row>
    <row r="718" spans="2:7" x14ac:dyDescent="0.3">
      <c r="B718" s="12">
        <v>65167</v>
      </c>
      <c r="C718" s="13">
        <f t="shared" si="25"/>
        <v>65196</v>
      </c>
      <c r="D718" s="14">
        <f>'Income Tracker Data'!V716</f>
        <v>0</v>
      </c>
      <c r="E718" s="15">
        <f>'Expense Tracker Data'!V716</f>
        <v>0</v>
      </c>
      <c r="F718" s="15">
        <f t="shared" si="24"/>
        <v>0</v>
      </c>
      <c r="G718" s="15" t="str">
        <f>IF(AND(D718&gt;0,E718&gt;0),G717+Bottom_Line_Table[[#This Row],[Difference]],"N/A")</f>
        <v>N/A</v>
      </c>
    </row>
    <row r="719" spans="2:7" x14ac:dyDescent="0.3">
      <c r="B719" s="12">
        <v>65197</v>
      </c>
      <c r="C719" s="13">
        <f t="shared" si="25"/>
        <v>65227</v>
      </c>
      <c r="D719" s="14">
        <f>'Income Tracker Data'!V717</f>
        <v>0</v>
      </c>
      <c r="E719" s="15">
        <f>'Expense Tracker Data'!V717</f>
        <v>0</v>
      </c>
      <c r="F719" s="15">
        <f t="shared" si="24"/>
        <v>0</v>
      </c>
      <c r="G719" s="15" t="str">
        <f>IF(AND(D719&gt;0,E719&gt;0),G718+Bottom_Line_Table[[#This Row],[Difference]],"N/A")</f>
        <v>N/A</v>
      </c>
    </row>
    <row r="720" spans="2:7" x14ac:dyDescent="0.3">
      <c r="B720" s="12">
        <v>65228</v>
      </c>
      <c r="C720" s="13">
        <f t="shared" si="25"/>
        <v>65258</v>
      </c>
      <c r="D720" s="14">
        <f>'Income Tracker Data'!V718</f>
        <v>0</v>
      </c>
      <c r="E720" s="15">
        <f>'Expense Tracker Data'!V718</f>
        <v>0</v>
      </c>
      <c r="F720" s="15">
        <f t="shared" si="24"/>
        <v>0</v>
      </c>
      <c r="G720" s="15" t="str">
        <f>IF(AND(D720&gt;0,E720&gt;0),G719+Bottom_Line_Table[[#This Row],[Difference]],"N/A")</f>
        <v>N/A</v>
      </c>
    </row>
    <row r="721" spans="2:7" x14ac:dyDescent="0.3">
      <c r="B721" s="12">
        <v>65259</v>
      </c>
      <c r="C721" s="13">
        <f t="shared" si="25"/>
        <v>65288</v>
      </c>
      <c r="D721" s="14">
        <f>'Income Tracker Data'!V719</f>
        <v>0</v>
      </c>
      <c r="E721" s="15">
        <f>'Expense Tracker Data'!V719</f>
        <v>0</v>
      </c>
      <c r="F721" s="15">
        <f t="shared" si="24"/>
        <v>0</v>
      </c>
      <c r="G721" s="15" t="str">
        <f>IF(AND(D721&gt;0,E721&gt;0),G720+Bottom_Line_Table[[#This Row],[Difference]],"N/A")</f>
        <v>N/A</v>
      </c>
    </row>
    <row r="722" spans="2:7" x14ac:dyDescent="0.3">
      <c r="B722" s="12">
        <v>65289</v>
      </c>
      <c r="C722" s="13">
        <f t="shared" si="25"/>
        <v>65319</v>
      </c>
      <c r="D722" s="14">
        <f>'Income Tracker Data'!V720</f>
        <v>0</v>
      </c>
      <c r="E722" s="15">
        <f>'Expense Tracker Data'!V720</f>
        <v>0</v>
      </c>
      <c r="F722" s="15">
        <f t="shared" si="24"/>
        <v>0</v>
      </c>
      <c r="G722" s="15" t="str">
        <f>IF(AND(D722&gt;0,E722&gt;0),G721+Bottom_Line_Table[[#This Row],[Difference]],"N/A")</f>
        <v>N/A</v>
      </c>
    </row>
    <row r="723" spans="2:7" x14ac:dyDescent="0.3">
      <c r="B723" s="12">
        <v>65320</v>
      </c>
      <c r="C723" s="13">
        <f t="shared" si="25"/>
        <v>65349</v>
      </c>
      <c r="D723" s="14">
        <f>'Income Tracker Data'!V721</f>
        <v>0</v>
      </c>
      <c r="E723" s="15">
        <f>'Expense Tracker Data'!V721</f>
        <v>0</v>
      </c>
      <c r="F723" s="15">
        <f t="shared" si="24"/>
        <v>0</v>
      </c>
      <c r="G723" s="15" t="str">
        <f>IF(AND(D723&gt;0,E723&gt;0),G722+Bottom_Line_Table[[#This Row],[Difference]],"N/A")</f>
        <v>N/A</v>
      </c>
    </row>
    <row r="724" spans="2:7" x14ac:dyDescent="0.3">
      <c r="B724" s="12">
        <v>65350</v>
      </c>
      <c r="C724" s="13">
        <f t="shared" si="25"/>
        <v>65380</v>
      </c>
      <c r="D724" s="14">
        <f>'Income Tracker Data'!V722</f>
        <v>0</v>
      </c>
      <c r="E724" s="15">
        <f>'Expense Tracker Data'!V722</f>
        <v>0</v>
      </c>
      <c r="F724" s="15">
        <f t="shared" si="24"/>
        <v>0</v>
      </c>
      <c r="G724" s="15" t="str">
        <f>IF(AND(D724&gt;0,E724&gt;0),G723+Bottom_Line_Table[[#This Row],[Difference]],"N/A")</f>
        <v>N/A</v>
      </c>
    </row>
    <row r="725" spans="2:7" x14ac:dyDescent="0.3">
      <c r="B725" s="12">
        <v>65381</v>
      </c>
      <c r="C725" s="13">
        <f t="shared" si="25"/>
        <v>65411</v>
      </c>
      <c r="D725" s="14">
        <f>'Income Tracker Data'!V723</f>
        <v>0</v>
      </c>
      <c r="E725" s="15">
        <f>'Expense Tracker Data'!V723</f>
        <v>0</v>
      </c>
      <c r="F725" s="15">
        <f t="shared" si="24"/>
        <v>0</v>
      </c>
      <c r="G725" s="15" t="str">
        <f>IF(AND(D725&gt;0,E725&gt;0),G724+Bottom_Line_Table[[#This Row],[Difference]],"N/A")</f>
        <v>N/A</v>
      </c>
    </row>
    <row r="726" spans="2:7" x14ac:dyDescent="0.3">
      <c r="B726" s="12">
        <v>65412</v>
      </c>
      <c r="C726" s="13">
        <f t="shared" si="25"/>
        <v>65439</v>
      </c>
      <c r="D726" s="14">
        <f>'Income Tracker Data'!V724</f>
        <v>0</v>
      </c>
      <c r="E726" s="15">
        <f>'Expense Tracker Data'!V724</f>
        <v>0</v>
      </c>
      <c r="F726" s="15">
        <f t="shared" si="24"/>
        <v>0</v>
      </c>
      <c r="G726" s="15" t="str">
        <f>IF(AND(D726&gt;0,E726&gt;0),G725+Bottom_Line_Table[[#This Row],[Difference]],"N/A")</f>
        <v>N/A</v>
      </c>
    </row>
    <row r="727" spans="2:7" x14ac:dyDescent="0.3">
      <c r="B727" s="12">
        <v>65440</v>
      </c>
      <c r="C727" s="13">
        <f t="shared" si="25"/>
        <v>65470</v>
      </c>
      <c r="D727" s="14">
        <f>'Income Tracker Data'!V725</f>
        <v>0</v>
      </c>
      <c r="E727" s="15">
        <f>'Expense Tracker Data'!V725</f>
        <v>0</v>
      </c>
      <c r="F727" s="15">
        <f t="shared" si="24"/>
        <v>0</v>
      </c>
      <c r="G727" s="15" t="str">
        <f>IF(AND(D727&gt;0,E727&gt;0),G726+Bottom_Line_Table[[#This Row],[Difference]],"N/A")</f>
        <v>N/A</v>
      </c>
    </row>
    <row r="728" spans="2:7" x14ac:dyDescent="0.3">
      <c r="B728" s="12">
        <v>65471</v>
      </c>
      <c r="C728" s="13">
        <f t="shared" si="25"/>
        <v>65500</v>
      </c>
      <c r="D728" s="14">
        <f>'Income Tracker Data'!V726</f>
        <v>0</v>
      </c>
      <c r="E728" s="15">
        <f>'Expense Tracker Data'!V726</f>
        <v>0</v>
      </c>
      <c r="F728" s="15">
        <f t="shared" si="24"/>
        <v>0</v>
      </c>
      <c r="G728" s="15" t="str">
        <f>IF(AND(D728&gt;0,E728&gt;0),G727+Bottom_Line_Table[[#This Row],[Difference]],"N/A")</f>
        <v>N/A</v>
      </c>
    </row>
    <row r="729" spans="2:7" x14ac:dyDescent="0.3">
      <c r="B729" s="12">
        <v>65501</v>
      </c>
      <c r="C729" s="13">
        <f t="shared" si="25"/>
        <v>65531</v>
      </c>
      <c r="D729" s="14">
        <f>'Income Tracker Data'!V727</f>
        <v>0</v>
      </c>
      <c r="E729" s="15">
        <f>'Expense Tracker Data'!V727</f>
        <v>0</v>
      </c>
      <c r="F729" s="15">
        <f t="shared" si="24"/>
        <v>0</v>
      </c>
      <c r="G729" s="15" t="str">
        <f>IF(AND(D729&gt;0,E729&gt;0),G728+Bottom_Line_Table[[#This Row],[Difference]],"N/A")</f>
        <v>N/A</v>
      </c>
    </row>
    <row r="730" spans="2:7" x14ac:dyDescent="0.3">
      <c r="B730" s="12">
        <v>65532</v>
      </c>
      <c r="C730" s="13">
        <f t="shared" si="25"/>
        <v>65561</v>
      </c>
      <c r="D730" s="14">
        <f>'Income Tracker Data'!V728</f>
        <v>0</v>
      </c>
      <c r="E730" s="15">
        <f>'Expense Tracker Data'!V728</f>
        <v>0</v>
      </c>
      <c r="F730" s="15">
        <f t="shared" si="24"/>
        <v>0</v>
      </c>
      <c r="G730" s="15" t="str">
        <f>IF(AND(D730&gt;0,E730&gt;0),G729+Bottom_Line_Table[[#This Row],[Difference]],"N/A")</f>
        <v>N/A</v>
      </c>
    </row>
    <row r="731" spans="2:7" x14ac:dyDescent="0.3">
      <c r="B731" s="12">
        <v>65562</v>
      </c>
      <c r="C731" s="13">
        <f t="shared" si="25"/>
        <v>65592</v>
      </c>
      <c r="D731" s="14">
        <f>'Income Tracker Data'!V729</f>
        <v>0</v>
      </c>
      <c r="E731" s="15">
        <f>'Expense Tracker Data'!V729</f>
        <v>0</v>
      </c>
      <c r="F731" s="15">
        <f t="shared" si="24"/>
        <v>0</v>
      </c>
      <c r="G731" s="15" t="str">
        <f>IF(AND(D731&gt;0,E731&gt;0),G730+Bottom_Line_Table[[#This Row],[Difference]],"N/A")</f>
        <v>N/A</v>
      </c>
    </row>
    <row r="732" spans="2:7" x14ac:dyDescent="0.3">
      <c r="B732" s="12">
        <v>65593</v>
      </c>
      <c r="C732" s="13">
        <f t="shared" si="25"/>
        <v>65623</v>
      </c>
      <c r="D732" s="14">
        <f>'Income Tracker Data'!V730</f>
        <v>0</v>
      </c>
      <c r="E732" s="15">
        <f>'Expense Tracker Data'!V730</f>
        <v>0</v>
      </c>
      <c r="F732" s="15">
        <f t="shared" si="24"/>
        <v>0</v>
      </c>
      <c r="G732" s="15" t="str">
        <f>IF(AND(D732&gt;0,E732&gt;0),G731+Bottom_Line_Table[[#This Row],[Difference]],"N/A")</f>
        <v>N/A</v>
      </c>
    </row>
    <row r="733" spans="2:7" x14ac:dyDescent="0.3">
      <c r="B733" s="12">
        <v>65624</v>
      </c>
      <c r="C733" s="13">
        <f t="shared" si="25"/>
        <v>65653</v>
      </c>
      <c r="D733" s="14">
        <f>'Income Tracker Data'!V731</f>
        <v>0</v>
      </c>
      <c r="E733" s="15">
        <f>'Expense Tracker Data'!V731</f>
        <v>0</v>
      </c>
      <c r="F733" s="15">
        <f t="shared" si="24"/>
        <v>0</v>
      </c>
      <c r="G733" s="15" t="str">
        <f>IF(AND(D733&gt;0,E733&gt;0),G732+Bottom_Line_Table[[#This Row],[Difference]],"N/A")</f>
        <v>N/A</v>
      </c>
    </row>
    <row r="734" spans="2:7" x14ac:dyDescent="0.3">
      <c r="B734" s="12">
        <v>65654</v>
      </c>
      <c r="C734" s="13">
        <f t="shared" si="25"/>
        <v>65684</v>
      </c>
      <c r="D734" s="14">
        <f>'Income Tracker Data'!V732</f>
        <v>0</v>
      </c>
      <c r="E734" s="15">
        <f>'Expense Tracker Data'!V732</f>
        <v>0</v>
      </c>
      <c r="F734" s="15">
        <f t="shared" si="24"/>
        <v>0</v>
      </c>
      <c r="G734" s="15" t="str">
        <f>IF(AND(D734&gt;0,E734&gt;0),G733+Bottom_Line_Table[[#This Row],[Difference]],"N/A")</f>
        <v>N/A</v>
      </c>
    </row>
    <row r="735" spans="2:7" x14ac:dyDescent="0.3">
      <c r="B735" s="12">
        <v>65685</v>
      </c>
      <c r="C735" s="13">
        <f t="shared" si="25"/>
        <v>65714</v>
      </c>
      <c r="D735" s="14">
        <f>'Income Tracker Data'!V733</f>
        <v>0</v>
      </c>
      <c r="E735" s="15">
        <f>'Expense Tracker Data'!V733</f>
        <v>0</v>
      </c>
      <c r="F735" s="15">
        <f t="shared" si="24"/>
        <v>0</v>
      </c>
      <c r="G735" s="15" t="str">
        <f>IF(AND(D735&gt;0,E735&gt;0),G734+Bottom_Line_Table[[#This Row],[Difference]],"N/A")</f>
        <v>N/A</v>
      </c>
    </row>
    <row r="736" spans="2:7" x14ac:dyDescent="0.3">
      <c r="B736" s="12">
        <v>65715</v>
      </c>
      <c r="C736" s="13">
        <f t="shared" si="25"/>
        <v>65745</v>
      </c>
      <c r="D736" s="14">
        <f>'Income Tracker Data'!V734</f>
        <v>0</v>
      </c>
      <c r="E736" s="15">
        <f>'Expense Tracker Data'!V734</f>
        <v>0</v>
      </c>
      <c r="F736" s="15">
        <f t="shared" si="24"/>
        <v>0</v>
      </c>
      <c r="G736" s="15" t="str">
        <f>IF(AND(D736&gt;0,E736&gt;0),G735+Bottom_Line_Table[[#This Row],[Difference]],"N/A")</f>
        <v>N/A</v>
      </c>
    </row>
    <row r="737" spans="2:7" x14ac:dyDescent="0.3">
      <c r="B737" s="12">
        <v>65746</v>
      </c>
      <c r="C737" s="13">
        <f t="shared" si="25"/>
        <v>65776</v>
      </c>
      <c r="D737" s="14">
        <f>'Income Tracker Data'!V735</f>
        <v>0</v>
      </c>
      <c r="E737" s="15">
        <f>'Expense Tracker Data'!V735</f>
        <v>0</v>
      </c>
      <c r="F737" s="15">
        <f t="shared" si="24"/>
        <v>0</v>
      </c>
      <c r="G737" s="15" t="str">
        <f>IF(AND(D737&gt;0,E737&gt;0),G736+Bottom_Line_Table[[#This Row],[Difference]],"N/A")</f>
        <v>N/A</v>
      </c>
    </row>
    <row r="738" spans="2:7" x14ac:dyDescent="0.3">
      <c r="B738" s="12">
        <v>65777</v>
      </c>
      <c r="C738" s="13">
        <f t="shared" si="25"/>
        <v>65805</v>
      </c>
      <c r="D738" s="14">
        <f>'Income Tracker Data'!V736</f>
        <v>0</v>
      </c>
      <c r="E738" s="15">
        <f>'Expense Tracker Data'!V736</f>
        <v>0</v>
      </c>
      <c r="F738" s="15">
        <f t="shared" si="24"/>
        <v>0</v>
      </c>
      <c r="G738" s="15" t="str">
        <f>IF(AND(D738&gt;0,E738&gt;0),G737+Bottom_Line_Table[[#This Row],[Difference]],"N/A")</f>
        <v>N/A</v>
      </c>
    </row>
    <row r="739" spans="2:7" x14ac:dyDescent="0.3">
      <c r="B739" s="12">
        <v>65806</v>
      </c>
      <c r="C739" s="13">
        <f t="shared" si="25"/>
        <v>65836</v>
      </c>
      <c r="D739" s="14">
        <f>'Income Tracker Data'!V737</f>
        <v>0</v>
      </c>
      <c r="E739" s="15">
        <f>'Expense Tracker Data'!V737</f>
        <v>0</v>
      </c>
      <c r="F739" s="15">
        <f t="shared" si="24"/>
        <v>0</v>
      </c>
      <c r="G739" s="15" t="str">
        <f>IF(AND(D739&gt;0,E739&gt;0),G738+Bottom_Line_Table[[#This Row],[Difference]],"N/A")</f>
        <v>N/A</v>
      </c>
    </row>
    <row r="740" spans="2:7" x14ac:dyDescent="0.3">
      <c r="B740" s="12">
        <v>65837</v>
      </c>
      <c r="C740" s="13">
        <f t="shared" si="25"/>
        <v>65866</v>
      </c>
      <c r="D740" s="14">
        <f>'Income Tracker Data'!V738</f>
        <v>0</v>
      </c>
      <c r="E740" s="15">
        <f>'Expense Tracker Data'!V738</f>
        <v>0</v>
      </c>
      <c r="F740" s="15">
        <f t="shared" si="24"/>
        <v>0</v>
      </c>
      <c r="G740" s="15" t="str">
        <f>IF(AND(D740&gt;0,E740&gt;0),G739+Bottom_Line_Table[[#This Row],[Difference]],"N/A")</f>
        <v>N/A</v>
      </c>
    </row>
    <row r="741" spans="2:7" x14ac:dyDescent="0.3">
      <c r="B741" s="12">
        <v>65867</v>
      </c>
      <c r="C741" s="13">
        <f t="shared" si="25"/>
        <v>65897</v>
      </c>
      <c r="D741" s="14">
        <f>'Income Tracker Data'!V739</f>
        <v>0</v>
      </c>
      <c r="E741" s="15">
        <f>'Expense Tracker Data'!V739</f>
        <v>0</v>
      </c>
      <c r="F741" s="15">
        <f t="shared" si="24"/>
        <v>0</v>
      </c>
      <c r="G741" s="15" t="str">
        <f>IF(AND(D741&gt;0,E741&gt;0),G740+Bottom_Line_Table[[#This Row],[Difference]],"N/A")</f>
        <v>N/A</v>
      </c>
    </row>
    <row r="742" spans="2:7" x14ac:dyDescent="0.3">
      <c r="B742" s="12">
        <v>65898</v>
      </c>
      <c r="C742" s="13">
        <f t="shared" si="25"/>
        <v>65927</v>
      </c>
      <c r="D742" s="14">
        <f>'Income Tracker Data'!V740</f>
        <v>0</v>
      </c>
      <c r="E742" s="15">
        <f>'Expense Tracker Data'!V740</f>
        <v>0</v>
      </c>
      <c r="F742" s="15">
        <f t="shared" si="24"/>
        <v>0</v>
      </c>
      <c r="G742" s="15" t="str">
        <f>IF(AND(D742&gt;0,E742&gt;0),G741+Bottom_Line_Table[[#This Row],[Difference]],"N/A")</f>
        <v>N/A</v>
      </c>
    </row>
    <row r="743" spans="2:7" x14ac:dyDescent="0.3">
      <c r="B743" s="12">
        <v>65928</v>
      </c>
      <c r="C743" s="13">
        <f t="shared" si="25"/>
        <v>65958</v>
      </c>
      <c r="D743" s="14">
        <f>'Income Tracker Data'!V741</f>
        <v>0</v>
      </c>
      <c r="E743" s="15">
        <f>'Expense Tracker Data'!V741</f>
        <v>0</v>
      </c>
      <c r="F743" s="15">
        <f t="shared" si="24"/>
        <v>0</v>
      </c>
      <c r="G743" s="15" t="str">
        <f>IF(AND(D743&gt;0,E743&gt;0),G742+Bottom_Line_Table[[#This Row],[Difference]],"N/A")</f>
        <v>N/A</v>
      </c>
    </row>
    <row r="744" spans="2:7" x14ac:dyDescent="0.3">
      <c r="B744" s="12">
        <v>65959</v>
      </c>
      <c r="C744" s="13">
        <f t="shared" si="25"/>
        <v>65989</v>
      </c>
      <c r="D744" s="14">
        <f>'Income Tracker Data'!V742</f>
        <v>0</v>
      </c>
      <c r="E744" s="15">
        <f>'Expense Tracker Data'!V742</f>
        <v>0</v>
      </c>
      <c r="F744" s="15">
        <f t="shared" si="24"/>
        <v>0</v>
      </c>
      <c r="G744" s="15" t="str">
        <f>IF(AND(D744&gt;0,E744&gt;0),G743+Bottom_Line_Table[[#This Row],[Difference]],"N/A")</f>
        <v>N/A</v>
      </c>
    </row>
    <row r="745" spans="2:7" x14ac:dyDescent="0.3">
      <c r="B745" s="12">
        <v>65990</v>
      </c>
      <c r="C745" s="13">
        <f t="shared" si="25"/>
        <v>66019</v>
      </c>
      <c r="D745" s="14">
        <f>'Income Tracker Data'!V743</f>
        <v>0</v>
      </c>
      <c r="E745" s="15">
        <f>'Expense Tracker Data'!V743</f>
        <v>0</v>
      </c>
      <c r="F745" s="15">
        <f t="shared" si="24"/>
        <v>0</v>
      </c>
      <c r="G745" s="15" t="str">
        <f>IF(AND(D745&gt;0,E745&gt;0),G744+Bottom_Line_Table[[#This Row],[Difference]],"N/A")</f>
        <v>N/A</v>
      </c>
    </row>
    <row r="746" spans="2:7" x14ac:dyDescent="0.3">
      <c r="B746" s="12">
        <v>66020</v>
      </c>
      <c r="C746" s="13">
        <f t="shared" si="25"/>
        <v>66050</v>
      </c>
      <c r="D746" s="14">
        <f>'Income Tracker Data'!V744</f>
        <v>0</v>
      </c>
      <c r="E746" s="15">
        <f>'Expense Tracker Data'!V744</f>
        <v>0</v>
      </c>
      <c r="F746" s="15">
        <f t="shared" si="24"/>
        <v>0</v>
      </c>
      <c r="G746" s="15" t="str">
        <f>IF(AND(D746&gt;0,E746&gt;0),G745+Bottom_Line_Table[[#This Row],[Difference]],"N/A")</f>
        <v>N/A</v>
      </c>
    </row>
    <row r="747" spans="2:7" x14ac:dyDescent="0.3">
      <c r="B747" s="12">
        <v>66051</v>
      </c>
      <c r="C747" s="13">
        <f t="shared" si="25"/>
        <v>66080</v>
      </c>
      <c r="D747" s="14">
        <f>'Income Tracker Data'!V745</f>
        <v>0</v>
      </c>
      <c r="E747" s="15">
        <f>'Expense Tracker Data'!V745</f>
        <v>0</v>
      </c>
      <c r="F747" s="15">
        <f t="shared" si="24"/>
        <v>0</v>
      </c>
      <c r="G747" s="15" t="str">
        <f>IF(AND(D747&gt;0,E747&gt;0),G746+Bottom_Line_Table[[#This Row],[Difference]],"N/A")</f>
        <v>N/A</v>
      </c>
    </row>
    <row r="748" spans="2:7" x14ac:dyDescent="0.3">
      <c r="B748" s="12">
        <v>66081</v>
      </c>
      <c r="C748" s="13">
        <f t="shared" si="25"/>
        <v>66111</v>
      </c>
      <c r="D748" s="14">
        <f>'Income Tracker Data'!V746</f>
        <v>0</v>
      </c>
      <c r="E748" s="15">
        <f>'Expense Tracker Data'!V746</f>
        <v>0</v>
      </c>
      <c r="F748" s="15">
        <f t="shared" si="24"/>
        <v>0</v>
      </c>
      <c r="G748" s="15" t="str">
        <f>IF(AND(D748&gt;0,E748&gt;0),G747+Bottom_Line_Table[[#This Row],[Difference]],"N/A")</f>
        <v>N/A</v>
      </c>
    </row>
    <row r="749" spans="2:7" x14ac:dyDescent="0.3">
      <c r="B749" s="12">
        <v>66112</v>
      </c>
      <c r="C749" s="13">
        <f t="shared" si="25"/>
        <v>66142</v>
      </c>
      <c r="D749" s="14">
        <f>'Income Tracker Data'!V747</f>
        <v>0</v>
      </c>
      <c r="E749" s="15">
        <f>'Expense Tracker Data'!V747</f>
        <v>0</v>
      </c>
      <c r="F749" s="15">
        <f t="shared" si="24"/>
        <v>0</v>
      </c>
      <c r="G749" s="15" t="str">
        <f>IF(AND(D749&gt;0,E749&gt;0),G748+Bottom_Line_Table[[#This Row],[Difference]],"N/A")</f>
        <v>N/A</v>
      </c>
    </row>
    <row r="750" spans="2:7" x14ac:dyDescent="0.3">
      <c r="B750" s="12">
        <v>66143</v>
      </c>
      <c r="C750" s="13">
        <f t="shared" si="25"/>
        <v>66170</v>
      </c>
      <c r="D750" s="14">
        <f>'Income Tracker Data'!V748</f>
        <v>0</v>
      </c>
      <c r="E750" s="15">
        <f>'Expense Tracker Data'!V748</f>
        <v>0</v>
      </c>
      <c r="F750" s="15">
        <f t="shared" si="24"/>
        <v>0</v>
      </c>
      <c r="G750" s="15" t="str">
        <f>IF(AND(D750&gt;0,E750&gt;0),G749+Bottom_Line_Table[[#This Row],[Difference]],"N/A")</f>
        <v>N/A</v>
      </c>
    </row>
    <row r="751" spans="2:7" x14ac:dyDescent="0.3">
      <c r="B751" s="12">
        <v>66171</v>
      </c>
      <c r="C751" s="13">
        <f t="shared" si="25"/>
        <v>66201</v>
      </c>
      <c r="D751" s="14">
        <f>'Income Tracker Data'!V749</f>
        <v>0</v>
      </c>
      <c r="E751" s="15">
        <f>'Expense Tracker Data'!V749</f>
        <v>0</v>
      </c>
      <c r="F751" s="15">
        <f t="shared" si="24"/>
        <v>0</v>
      </c>
      <c r="G751" s="15" t="str">
        <f>IF(AND(D751&gt;0,E751&gt;0),G750+Bottom_Line_Table[[#This Row],[Difference]],"N/A")</f>
        <v>N/A</v>
      </c>
    </row>
    <row r="752" spans="2:7" x14ac:dyDescent="0.3">
      <c r="B752" s="12">
        <v>66202</v>
      </c>
      <c r="C752" s="13">
        <f t="shared" si="25"/>
        <v>66231</v>
      </c>
      <c r="D752" s="14">
        <f>'Income Tracker Data'!V750</f>
        <v>0</v>
      </c>
      <c r="E752" s="15">
        <f>'Expense Tracker Data'!V750</f>
        <v>0</v>
      </c>
      <c r="F752" s="15">
        <f t="shared" si="24"/>
        <v>0</v>
      </c>
      <c r="G752" s="15" t="str">
        <f>IF(AND(D752&gt;0,E752&gt;0),G751+Bottom_Line_Table[[#This Row],[Difference]],"N/A")</f>
        <v>N/A</v>
      </c>
    </row>
    <row r="753" spans="2:7" x14ac:dyDescent="0.3">
      <c r="B753" s="12">
        <v>66232</v>
      </c>
      <c r="C753" s="13">
        <f t="shared" si="25"/>
        <v>66262</v>
      </c>
      <c r="D753" s="14">
        <f>'Income Tracker Data'!V751</f>
        <v>0</v>
      </c>
      <c r="E753" s="15">
        <f>'Expense Tracker Data'!V751</f>
        <v>0</v>
      </c>
      <c r="F753" s="15">
        <f t="shared" si="24"/>
        <v>0</v>
      </c>
      <c r="G753" s="15" t="str">
        <f>IF(AND(D753&gt;0,E753&gt;0),G752+Bottom_Line_Table[[#This Row],[Difference]],"N/A")</f>
        <v>N/A</v>
      </c>
    </row>
    <row r="754" spans="2:7" x14ac:dyDescent="0.3">
      <c r="B754" s="12">
        <v>66263</v>
      </c>
      <c r="C754" s="13">
        <f t="shared" si="25"/>
        <v>66292</v>
      </c>
      <c r="D754" s="14">
        <f>'Income Tracker Data'!V752</f>
        <v>0</v>
      </c>
      <c r="E754" s="15">
        <f>'Expense Tracker Data'!V752</f>
        <v>0</v>
      </c>
      <c r="F754" s="15">
        <f t="shared" si="24"/>
        <v>0</v>
      </c>
      <c r="G754" s="15" t="str">
        <f>IF(AND(D754&gt;0,E754&gt;0),G753+Bottom_Line_Table[[#This Row],[Difference]],"N/A")</f>
        <v>N/A</v>
      </c>
    </row>
    <row r="755" spans="2:7" x14ac:dyDescent="0.3">
      <c r="B755" s="12">
        <v>66293</v>
      </c>
      <c r="C755" s="13">
        <f t="shared" si="25"/>
        <v>66323</v>
      </c>
      <c r="D755" s="14">
        <f>'Income Tracker Data'!V753</f>
        <v>0</v>
      </c>
      <c r="E755" s="15">
        <f>'Expense Tracker Data'!V753</f>
        <v>0</v>
      </c>
      <c r="F755" s="15">
        <f t="shared" si="24"/>
        <v>0</v>
      </c>
      <c r="G755" s="15" t="str">
        <f>IF(AND(D755&gt;0,E755&gt;0),G754+Bottom_Line_Table[[#This Row],[Difference]],"N/A")</f>
        <v>N/A</v>
      </c>
    </row>
    <row r="756" spans="2:7" x14ac:dyDescent="0.3">
      <c r="B756" s="12">
        <v>66324</v>
      </c>
      <c r="C756" s="13">
        <f t="shared" si="25"/>
        <v>66354</v>
      </c>
      <c r="D756" s="14">
        <f>'Income Tracker Data'!V754</f>
        <v>0</v>
      </c>
      <c r="E756" s="15">
        <f>'Expense Tracker Data'!V754</f>
        <v>0</v>
      </c>
      <c r="F756" s="15">
        <f t="shared" si="24"/>
        <v>0</v>
      </c>
      <c r="G756" s="15" t="str">
        <f>IF(AND(D756&gt;0,E756&gt;0),G755+Bottom_Line_Table[[#This Row],[Difference]],"N/A")</f>
        <v>N/A</v>
      </c>
    </row>
    <row r="757" spans="2:7" x14ac:dyDescent="0.3">
      <c r="B757" s="12">
        <v>66355</v>
      </c>
      <c r="C757" s="13">
        <f t="shared" si="25"/>
        <v>66384</v>
      </c>
      <c r="D757" s="14">
        <f>'Income Tracker Data'!V755</f>
        <v>0</v>
      </c>
      <c r="E757" s="15">
        <f>'Expense Tracker Data'!V755</f>
        <v>0</v>
      </c>
      <c r="F757" s="15">
        <f t="shared" si="24"/>
        <v>0</v>
      </c>
      <c r="G757" s="15" t="str">
        <f>IF(AND(D757&gt;0,E757&gt;0),G756+Bottom_Line_Table[[#This Row],[Difference]],"N/A")</f>
        <v>N/A</v>
      </c>
    </row>
    <row r="758" spans="2:7" x14ac:dyDescent="0.3">
      <c r="B758" s="12">
        <v>66385</v>
      </c>
      <c r="C758" s="13">
        <f t="shared" si="25"/>
        <v>66415</v>
      </c>
      <c r="D758" s="14">
        <f>'Income Tracker Data'!V756</f>
        <v>0</v>
      </c>
      <c r="E758" s="15">
        <f>'Expense Tracker Data'!V756</f>
        <v>0</v>
      </c>
      <c r="F758" s="15">
        <f t="shared" si="24"/>
        <v>0</v>
      </c>
      <c r="G758" s="15" t="str">
        <f>IF(AND(D758&gt;0,E758&gt;0),G757+Bottom_Line_Table[[#This Row],[Difference]],"N/A")</f>
        <v>N/A</v>
      </c>
    </row>
    <row r="759" spans="2:7" x14ac:dyDescent="0.3">
      <c r="B759" s="12">
        <v>66416</v>
      </c>
      <c r="C759" s="13">
        <f t="shared" si="25"/>
        <v>66445</v>
      </c>
      <c r="D759" s="14">
        <f>'Income Tracker Data'!V757</f>
        <v>0</v>
      </c>
      <c r="E759" s="15">
        <f>'Expense Tracker Data'!V757</f>
        <v>0</v>
      </c>
      <c r="F759" s="15">
        <f t="shared" si="24"/>
        <v>0</v>
      </c>
      <c r="G759" s="15" t="str">
        <f>IF(AND(D759&gt;0,E759&gt;0),G758+Bottom_Line_Table[[#This Row],[Difference]],"N/A")</f>
        <v>N/A</v>
      </c>
    </row>
    <row r="760" spans="2:7" x14ac:dyDescent="0.3">
      <c r="B760" s="12">
        <v>66446</v>
      </c>
      <c r="C760" s="13">
        <f t="shared" si="25"/>
        <v>66476</v>
      </c>
      <c r="D760" s="14">
        <f>'Income Tracker Data'!V758</f>
        <v>0</v>
      </c>
      <c r="E760" s="15">
        <f>'Expense Tracker Data'!V758</f>
        <v>0</v>
      </c>
      <c r="F760" s="15">
        <f t="shared" si="24"/>
        <v>0</v>
      </c>
      <c r="G760" s="15" t="str">
        <f>IF(AND(D760&gt;0,E760&gt;0),G759+Bottom_Line_Table[[#This Row],[Difference]],"N/A")</f>
        <v>N/A</v>
      </c>
    </row>
    <row r="761" spans="2:7" x14ac:dyDescent="0.3">
      <c r="B761" s="12">
        <v>66477</v>
      </c>
      <c r="C761" s="13">
        <f t="shared" si="25"/>
        <v>66507</v>
      </c>
      <c r="D761" s="14">
        <f>'Income Tracker Data'!V759</f>
        <v>0</v>
      </c>
      <c r="E761" s="15">
        <f>'Expense Tracker Data'!V759</f>
        <v>0</v>
      </c>
      <c r="F761" s="15">
        <f t="shared" si="24"/>
        <v>0</v>
      </c>
      <c r="G761" s="15" t="str">
        <f>IF(AND(D761&gt;0,E761&gt;0),G760+Bottom_Line_Table[[#This Row],[Difference]],"N/A")</f>
        <v>N/A</v>
      </c>
    </row>
    <row r="762" spans="2:7" x14ac:dyDescent="0.3">
      <c r="B762" s="12">
        <v>66508</v>
      </c>
      <c r="C762" s="13">
        <f t="shared" si="25"/>
        <v>66535</v>
      </c>
      <c r="D762" s="14">
        <f>'Income Tracker Data'!V760</f>
        <v>0</v>
      </c>
      <c r="E762" s="15">
        <f>'Expense Tracker Data'!V760</f>
        <v>0</v>
      </c>
      <c r="F762" s="15">
        <f t="shared" si="24"/>
        <v>0</v>
      </c>
      <c r="G762" s="15" t="str">
        <f>IF(AND(D762&gt;0,E762&gt;0),G761+Bottom_Line_Table[[#This Row],[Difference]],"N/A")</f>
        <v>N/A</v>
      </c>
    </row>
    <row r="763" spans="2:7" x14ac:dyDescent="0.3">
      <c r="B763" s="12">
        <v>66536</v>
      </c>
      <c r="C763" s="13">
        <f t="shared" si="25"/>
        <v>66566</v>
      </c>
      <c r="D763" s="14">
        <f>'Income Tracker Data'!V761</f>
        <v>0</v>
      </c>
      <c r="E763" s="15">
        <f>'Expense Tracker Data'!V761</f>
        <v>0</v>
      </c>
      <c r="F763" s="15">
        <f t="shared" si="24"/>
        <v>0</v>
      </c>
      <c r="G763" s="15" t="str">
        <f>IF(AND(D763&gt;0,E763&gt;0),G762+Bottom_Line_Table[[#This Row],[Difference]],"N/A")</f>
        <v>N/A</v>
      </c>
    </row>
    <row r="764" spans="2:7" x14ac:dyDescent="0.3">
      <c r="B764" s="12">
        <v>66567</v>
      </c>
      <c r="C764" s="13">
        <f t="shared" si="25"/>
        <v>66596</v>
      </c>
      <c r="D764" s="14">
        <f>'Income Tracker Data'!V762</f>
        <v>0</v>
      </c>
      <c r="E764" s="15">
        <f>'Expense Tracker Data'!V762</f>
        <v>0</v>
      </c>
      <c r="F764" s="15">
        <f t="shared" si="24"/>
        <v>0</v>
      </c>
      <c r="G764" s="15" t="str">
        <f>IF(AND(D764&gt;0,E764&gt;0),G763+Bottom_Line_Table[[#This Row],[Difference]],"N/A")</f>
        <v>N/A</v>
      </c>
    </row>
    <row r="765" spans="2:7" x14ac:dyDescent="0.3">
      <c r="B765" s="12">
        <v>66597</v>
      </c>
      <c r="C765" s="13">
        <f t="shared" si="25"/>
        <v>66627</v>
      </c>
      <c r="D765" s="14">
        <f>'Income Tracker Data'!V763</f>
        <v>0</v>
      </c>
      <c r="E765" s="15">
        <f>'Expense Tracker Data'!V763</f>
        <v>0</v>
      </c>
      <c r="F765" s="15">
        <f t="shared" si="24"/>
        <v>0</v>
      </c>
      <c r="G765" s="15" t="str">
        <f>IF(AND(D765&gt;0,E765&gt;0),G764+Bottom_Line_Table[[#This Row],[Difference]],"N/A")</f>
        <v>N/A</v>
      </c>
    </row>
    <row r="766" spans="2:7" x14ac:dyDescent="0.3">
      <c r="B766" s="12">
        <v>66628</v>
      </c>
      <c r="C766" s="13">
        <f t="shared" si="25"/>
        <v>66657</v>
      </c>
      <c r="D766" s="14">
        <f>'Income Tracker Data'!V764</f>
        <v>0</v>
      </c>
      <c r="E766" s="15">
        <f>'Expense Tracker Data'!V764</f>
        <v>0</v>
      </c>
      <c r="F766" s="15">
        <f t="shared" si="24"/>
        <v>0</v>
      </c>
      <c r="G766" s="15" t="str">
        <f>IF(AND(D766&gt;0,E766&gt;0),G765+Bottom_Line_Table[[#This Row],[Difference]],"N/A")</f>
        <v>N/A</v>
      </c>
    </row>
    <row r="767" spans="2:7" x14ac:dyDescent="0.3">
      <c r="B767" s="12">
        <v>66658</v>
      </c>
      <c r="C767" s="13">
        <f t="shared" si="25"/>
        <v>66688</v>
      </c>
      <c r="D767" s="14">
        <f>'Income Tracker Data'!V765</f>
        <v>0</v>
      </c>
      <c r="E767" s="15">
        <f>'Expense Tracker Data'!V765</f>
        <v>0</v>
      </c>
      <c r="F767" s="15">
        <f t="shared" si="24"/>
        <v>0</v>
      </c>
      <c r="G767" s="15" t="str">
        <f>IF(AND(D767&gt;0,E767&gt;0),G766+Bottom_Line_Table[[#This Row],[Difference]],"N/A")</f>
        <v>N/A</v>
      </c>
    </row>
    <row r="768" spans="2:7" x14ac:dyDescent="0.3">
      <c r="B768" s="12">
        <v>66689</v>
      </c>
      <c r="C768" s="13">
        <f t="shared" si="25"/>
        <v>66719</v>
      </c>
      <c r="D768" s="14">
        <f>'Income Tracker Data'!V766</f>
        <v>0</v>
      </c>
      <c r="E768" s="15">
        <f>'Expense Tracker Data'!V766</f>
        <v>0</v>
      </c>
      <c r="F768" s="15">
        <f t="shared" si="24"/>
        <v>0</v>
      </c>
      <c r="G768" s="15" t="str">
        <f>IF(AND(D768&gt;0,E768&gt;0),G767+Bottom_Line_Table[[#This Row],[Difference]],"N/A")</f>
        <v>N/A</v>
      </c>
    </row>
    <row r="769" spans="2:7" x14ac:dyDescent="0.3">
      <c r="B769" s="12">
        <v>66720</v>
      </c>
      <c r="C769" s="13">
        <f t="shared" si="25"/>
        <v>66749</v>
      </c>
      <c r="D769" s="14">
        <f>'Income Tracker Data'!V767</f>
        <v>0</v>
      </c>
      <c r="E769" s="15">
        <f>'Expense Tracker Data'!V767</f>
        <v>0</v>
      </c>
      <c r="F769" s="15">
        <f t="shared" si="24"/>
        <v>0</v>
      </c>
      <c r="G769" s="15" t="str">
        <f>IF(AND(D769&gt;0,E769&gt;0),G768+Bottom_Line_Table[[#This Row],[Difference]],"N/A")</f>
        <v>N/A</v>
      </c>
    </row>
    <row r="770" spans="2:7" x14ac:dyDescent="0.3">
      <c r="B770" s="12">
        <v>66750</v>
      </c>
      <c r="C770" s="13">
        <f t="shared" si="25"/>
        <v>66780</v>
      </c>
      <c r="D770" s="14">
        <f>'Income Tracker Data'!V768</f>
        <v>0</v>
      </c>
      <c r="E770" s="15">
        <f>'Expense Tracker Data'!V768</f>
        <v>0</v>
      </c>
      <c r="F770" s="15">
        <f t="shared" si="24"/>
        <v>0</v>
      </c>
      <c r="G770" s="15" t="str">
        <f>IF(AND(D770&gt;0,E770&gt;0),G769+Bottom_Line_Table[[#This Row],[Difference]],"N/A")</f>
        <v>N/A</v>
      </c>
    </row>
    <row r="771" spans="2:7" x14ac:dyDescent="0.3">
      <c r="B771" s="12">
        <v>66781</v>
      </c>
      <c r="C771" s="13">
        <f t="shared" si="25"/>
        <v>66810</v>
      </c>
      <c r="D771" s="14">
        <f>'Income Tracker Data'!V769</f>
        <v>0</v>
      </c>
      <c r="E771" s="15">
        <f>'Expense Tracker Data'!V769</f>
        <v>0</v>
      </c>
      <c r="F771" s="15">
        <f t="shared" si="24"/>
        <v>0</v>
      </c>
      <c r="G771" s="15" t="str">
        <f>IF(AND(D771&gt;0,E771&gt;0),G770+Bottom_Line_Table[[#This Row],[Difference]],"N/A")</f>
        <v>N/A</v>
      </c>
    </row>
    <row r="772" spans="2:7" x14ac:dyDescent="0.3">
      <c r="B772" s="12">
        <v>66811</v>
      </c>
      <c r="C772" s="13">
        <f t="shared" si="25"/>
        <v>66841</v>
      </c>
      <c r="D772" s="14">
        <f>'Income Tracker Data'!V770</f>
        <v>0</v>
      </c>
      <c r="E772" s="15">
        <f>'Expense Tracker Data'!V770</f>
        <v>0</v>
      </c>
      <c r="F772" s="15">
        <f t="shared" si="24"/>
        <v>0</v>
      </c>
      <c r="G772" s="15" t="str">
        <f>IF(AND(D772&gt;0,E772&gt;0),G771+Bottom_Line_Table[[#This Row],[Difference]],"N/A")</f>
        <v>N/A</v>
      </c>
    </row>
    <row r="773" spans="2:7" x14ac:dyDescent="0.3">
      <c r="B773" s="12">
        <v>66842</v>
      </c>
      <c r="C773" s="13">
        <f t="shared" si="25"/>
        <v>66872</v>
      </c>
      <c r="D773" s="14">
        <f>'Income Tracker Data'!V771</f>
        <v>0</v>
      </c>
      <c r="E773" s="15">
        <f>'Expense Tracker Data'!V771</f>
        <v>0</v>
      </c>
      <c r="F773" s="15">
        <f t="shared" si="24"/>
        <v>0</v>
      </c>
      <c r="G773" s="15" t="str">
        <f>IF(AND(D773&gt;0,E773&gt;0),G772+Bottom_Line_Table[[#This Row],[Difference]],"N/A")</f>
        <v>N/A</v>
      </c>
    </row>
    <row r="774" spans="2:7" x14ac:dyDescent="0.3">
      <c r="B774" s="12">
        <v>66873</v>
      </c>
      <c r="C774" s="13">
        <f t="shared" si="25"/>
        <v>66900</v>
      </c>
      <c r="D774" s="14">
        <f>'Income Tracker Data'!V772</f>
        <v>0</v>
      </c>
      <c r="E774" s="15">
        <f>'Expense Tracker Data'!V772</f>
        <v>0</v>
      </c>
      <c r="F774" s="15">
        <f t="shared" ref="F774:F837" si="26">D774-E774</f>
        <v>0</v>
      </c>
      <c r="G774" s="15" t="str">
        <f>IF(AND(D774&gt;0,E774&gt;0),G773+Bottom_Line_Table[[#This Row],[Difference]],"N/A")</f>
        <v>N/A</v>
      </c>
    </row>
    <row r="775" spans="2:7" x14ac:dyDescent="0.3">
      <c r="B775" s="12">
        <v>66901</v>
      </c>
      <c r="C775" s="13">
        <f t="shared" si="25"/>
        <v>66931</v>
      </c>
      <c r="D775" s="14">
        <f>'Income Tracker Data'!V773</f>
        <v>0</v>
      </c>
      <c r="E775" s="15">
        <f>'Expense Tracker Data'!V773</f>
        <v>0</v>
      </c>
      <c r="F775" s="15">
        <f t="shared" si="26"/>
        <v>0</v>
      </c>
      <c r="G775" s="15" t="str">
        <f>IF(AND(D775&gt;0,E775&gt;0),G774+Bottom_Line_Table[[#This Row],[Difference]],"N/A")</f>
        <v>N/A</v>
      </c>
    </row>
    <row r="776" spans="2:7" x14ac:dyDescent="0.3">
      <c r="B776" s="12">
        <v>66932</v>
      </c>
      <c r="C776" s="13">
        <f t="shared" si="25"/>
        <v>66961</v>
      </c>
      <c r="D776" s="14">
        <f>'Income Tracker Data'!V774</f>
        <v>0</v>
      </c>
      <c r="E776" s="15">
        <f>'Expense Tracker Data'!V774</f>
        <v>0</v>
      </c>
      <c r="F776" s="15">
        <f t="shared" si="26"/>
        <v>0</v>
      </c>
      <c r="G776" s="15" t="str">
        <f>IF(AND(D776&gt;0,E776&gt;0),G775+Bottom_Line_Table[[#This Row],[Difference]],"N/A")</f>
        <v>N/A</v>
      </c>
    </row>
    <row r="777" spans="2:7" x14ac:dyDescent="0.3">
      <c r="B777" s="12">
        <v>66962</v>
      </c>
      <c r="C777" s="13">
        <f t="shared" si="25"/>
        <v>66992</v>
      </c>
      <c r="D777" s="14">
        <f>'Income Tracker Data'!V775</f>
        <v>0</v>
      </c>
      <c r="E777" s="15">
        <f>'Expense Tracker Data'!V775</f>
        <v>0</v>
      </c>
      <c r="F777" s="15">
        <f t="shared" si="26"/>
        <v>0</v>
      </c>
      <c r="G777" s="15" t="str">
        <f>IF(AND(D777&gt;0,E777&gt;0),G776+Bottom_Line_Table[[#This Row],[Difference]],"N/A")</f>
        <v>N/A</v>
      </c>
    </row>
    <row r="778" spans="2:7" x14ac:dyDescent="0.3">
      <c r="B778" s="12">
        <v>66993</v>
      </c>
      <c r="C778" s="13">
        <f t="shared" si="25"/>
        <v>67022</v>
      </c>
      <c r="D778" s="14">
        <f>'Income Tracker Data'!V776</f>
        <v>0</v>
      </c>
      <c r="E778" s="15">
        <f>'Expense Tracker Data'!V776</f>
        <v>0</v>
      </c>
      <c r="F778" s="15">
        <f t="shared" si="26"/>
        <v>0</v>
      </c>
      <c r="G778" s="15" t="str">
        <f>IF(AND(D778&gt;0,E778&gt;0),G777+Bottom_Line_Table[[#This Row],[Difference]],"N/A")</f>
        <v>N/A</v>
      </c>
    </row>
    <row r="779" spans="2:7" x14ac:dyDescent="0.3">
      <c r="B779" s="12">
        <v>67023</v>
      </c>
      <c r="C779" s="13">
        <f t="shared" ref="C779:C842" si="27">EOMONTH(B779,0)</f>
        <v>67053</v>
      </c>
      <c r="D779" s="14">
        <f>'Income Tracker Data'!V777</f>
        <v>0</v>
      </c>
      <c r="E779" s="15">
        <f>'Expense Tracker Data'!V777</f>
        <v>0</v>
      </c>
      <c r="F779" s="15">
        <f t="shared" si="26"/>
        <v>0</v>
      </c>
      <c r="G779" s="15" t="str">
        <f>IF(AND(D779&gt;0,E779&gt;0),G778+Bottom_Line_Table[[#This Row],[Difference]],"N/A")</f>
        <v>N/A</v>
      </c>
    </row>
    <row r="780" spans="2:7" x14ac:dyDescent="0.3">
      <c r="B780" s="12">
        <v>67054</v>
      </c>
      <c r="C780" s="13">
        <f t="shared" si="27"/>
        <v>67084</v>
      </c>
      <c r="D780" s="14">
        <f>'Income Tracker Data'!V778</f>
        <v>0</v>
      </c>
      <c r="E780" s="15">
        <f>'Expense Tracker Data'!V778</f>
        <v>0</v>
      </c>
      <c r="F780" s="15">
        <f t="shared" si="26"/>
        <v>0</v>
      </c>
      <c r="G780" s="15" t="str">
        <f>IF(AND(D780&gt;0,E780&gt;0),G779+Bottom_Line_Table[[#This Row],[Difference]],"N/A")</f>
        <v>N/A</v>
      </c>
    </row>
    <row r="781" spans="2:7" x14ac:dyDescent="0.3">
      <c r="B781" s="12">
        <v>67085</v>
      </c>
      <c r="C781" s="13">
        <f t="shared" si="27"/>
        <v>67114</v>
      </c>
      <c r="D781" s="14">
        <f>'Income Tracker Data'!V779</f>
        <v>0</v>
      </c>
      <c r="E781" s="15">
        <f>'Expense Tracker Data'!V779</f>
        <v>0</v>
      </c>
      <c r="F781" s="15">
        <f t="shared" si="26"/>
        <v>0</v>
      </c>
      <c r="G781" s="15" t="str">
        <f>IF(AND(D781&gt;0,E781&gt;0),G780+Bottom_Line_Table[[#This Row],[Difference]],"N/A")</f>
        <v>N/A</v>
      </c>
    </row>
    <row r="782" spans="2:7" x14ac:dyDescent="0.3">
      <c r="B782" s="12">
        <v>67115</v>
      </c>
      <c r="C782" s="13">
        <f t="shared" si="27"/>
        <v>67145</v>
      </c>
      <c r="D782" s="14">
        <f>'Income Tracker Data'!V780</f>
        <v>0</v>
      </c>
      <c r="E782" s="15">
        <f>'Expense Tracker Data'!V780</f>
        <v>0</v>
      </c>
      <c r="F782" s="15">
        <f t="shared" si="26"/>
        <v>0</v>
      </c>
      <c r="G782" s="15" t="str">
        <f>IF(AND(D782&gt;0,E782&gt;0),G781+Bottom_Line_Table[[#This Row],[Difference]],"N/A")</f>
        <v>N/A</v>
      </c>
    </row>
    <row r="783" spans="2:7" x14ac:dyDescent="0.3">
      <c r="B783" s="12">
        <v>67146</v>
      </c>
      <c r="C783" s="13">
        <f t="shared" si="27"/>
        <v>67175</v>
      </c>
      <c r="D783" s="14">
        <f>'Income Tracker Data'!V781</f>
        <v>0</v>
      </c>
      <c r="E783" s="15">
        <f>'Expense Tracker Data'!V781</f>
        <v>0</v>
      </c>
      <c r="F783" s="15">
        <f t="shared" si="26"/>
        <v>0</v>
      </c>
      <c r="G783" s="15" t="str">
        <f>IF(AND(D783&gt;0,E783&gt;0),G782+Bottom_Line_Table[[#This Row],[Difference]],"N/A")</f>
        <v>N/A</v>
      </c>
    </row>
    <row r="784" spans="2:7" x14ac:dyDescent="0.3">
      <c r="B784" s="12">
        <v>67176</v>
      </c>
      <c r="C784" s="13">
        <f t="shared" si="27"/>
        <v>67206</v>
      </c>
      <c r="D784" s="14">
        <f>'Income Tracker Data'!V782</f>
        <v>0</v>
      </c>
      <c r="E784" s="15">
        <f>'Expense Tracker Data'!V782</f>
        <v>0</v>
      </c>
      <c r="F784" s="15">
        <f t="shared" si="26"/>
        <v>0</v>
      </c>
      <c r="G784" s="15" t="str">
        <f>IF(AND(D784&gt;0,E784&gt;0),G783+Bottom_Line_Table[[#This Row],[Difference]],"N/A")</f>
        <v>N/A</v>
      </c>
    </row>
    <row r="785" spans="2:7" x14ac:dyDescent="0.3">
      <c r="B785" s="12">
        <v>67207</v>
      </c>
      <c r="C785" s="13">
        <f t="shared" si="27"/>
        <v>67237</v>
      </c>
      <c r="D785" s="14">
        <f>'Income Tracker Data'!V783</f>
        <v>0</v>
      </c>
      <c r="E785" s="15">
        <f>'Expense Tracker Data'!V783</f>
        <v>0</v>
      </c>
      <c r="F785" s="15">
        <f t="shared" si="26"/>
        <v>0</v>
      </c>
      <c r="G785" s="15" t="str">
        <f>IF(AND(D785&gt;0,E785&gt;0),G784+Bottom_Line_Table[[#This Row],[Difference]],"N/A")</f>
        <v>N/A</v>
      </c>
    </row>
    <row r="786" spans="2:7" x14ac:dyDescent="0.3">
      <c r="B786" s="12">
        <v>67238</v>
      </c>
      <c r="C786" s="13">
        <f t="shared" si="27"/>
        <v>67266</v>
      </c>
      <c r="D786" s="14">
        <f>'Income Tracker Data'!V784</f>
        <v>0</v>
      </c>
      <c r="E786" s="15">
        <f>'Expense Tracker Data'!V784</f>
        <v>0</v>
      </c>
      <c r="F786" s="15">
        <f t="shared" si="26"/>
        <v>0</v>
      </c>
      <c r="G786" s="15" t="str">
        <f>IF(AND(D786&gt;0,E786&gt;0),G785+Bottom_Line_Table[[#This Row],[Difference]],"N/A")</f>
        <v>N/A</v>
      </c>
    </row>
    <row r="787" spans="2:7" x14ac:dyDescent="0.3">
      <c r="B787" s="12">
        <v>67267</v>
      </c>
      <c r="C787" s="13">
        <f t="shared" si="27"/>
        <v>67297</v>
      </c>
      <c r="D787" s="14">
        <f>'Income Tracker Data'!V785</f>
        <v>0</v>
      </c>
      <c r="E787" s="15">
        <f>'Expense Tracker Data'!V785</f>
        <v>0</v>
      </c>
      <c r="F787" s="15">
        <f t="shared" si="26"/>
        <v>0</v>
      </c>
      <c r="G787" s="15" t="str">
        <f>IF(AND(D787&gt;0,E787&gt;0),G786+Bottom_Line_Table[[#This Row],[Difference]],"N/A")</f>
        <v>N/A</v>
      </c>
    </row>
    <row r="788" spans="2:7" x14ac:dyDescent="0.3">
      <c r="B788" s="12">
        <v>67298</v>
      </c>
      <c r="C788" s="13">
        <f t="shared" si="27"/>
        <v>67327</v>
      </c>
      <c r="D788" s="14">
        <f>'Income Tracker Data'!V786</f>
        <v>0</v>
      </c>
      <c r="E788" s="15">
        <f>'Expense Tracker Data'!V786</f>
        <v>0</v>
      </c>
      <c r="F788" s="15">
        <f t="shared" si="26"/>
        <v>0</v>
      </c>
      <c r="G788" s="15" t="str">
        <f>IF(AND(D788&gt;0,E788&gt;0),G787+Bottom_Line_Table[[#This Row],[Difference]],"N/A")</f>
        <v>N/A</v>
      </c>
    </row>
    <row r="789" spans="2:7" x14ac:dyDescent="0.3">
      <c r="B789" s="12">
        <v>67328</v>
      </c>
      <c r="C789" s="13">
        <f t="shared" si="27"/>
        <v>67358</v>
      </c>
      <c r="D789" s="14">
        <f>'Income Tracker Data'!V787</f>
        <v>0</v>
      </c>
      <c r="E789" s="15">
        <f>'Expense Tracker Data'!V787</f>
        <v>0</v>
      </c>
      <c r="F789" s="15">
        <f t="shared" si="26"/>
        <v>0</v>
      </c>
      <c r="G789" s="15" t="str">
        <f>IF(AND(D789&gt;0,E789&gt;0),G788+Bottom_Line_Table[[#This Row],[Difference]],"N/A")</f>
        <v>N/A</v>
      </c>
    </row>
    <row r="790" spans="2:7" x14ac:dyDescent="0.3">
      <c r="B790" s="12">
        <v>67359</v>
      </c>
      <c r="C790" s="13">
        <f t="shared" si="27"/>
        <v>67388</v>
      </c>
      <c r="D790" s="14">
        <f>'Income Tracker Data'!V788</f>
        <v>0</v>
      </c>
      <c r="E790" s="15">
        <f>'Expense Tracker Data'!V788</f>
        <v>0</v>
      </c>
      <c r="F790" s="15">
        <f t="shared" si="26"/>
        <v>0</v>
      </c>
      <c r="G790" s="15" t="str">
        <f>IF(AND(D790&gt;0,E790&gt;0),G789+Bottom_Line_Table[[#This Row],[Difference]],"N/A")</f>
        <v>N/A</v>
      </c>
    </row>
    <row r="791" spans="2:7" x14ac:dyDescent="0.3">
      <c r="B791" s="12">
        <v>67389</v>
      </c>
      <c r="C791" s="13">
        <f t="shared" si="27"/>
        <v>67419</v>
      </c>
      <c r="D791" s="14">
        <f>'Income Tracker Data'!V789</f>
        <v>0</v>
      </c>
      <c r="E791" s="15">
        <f>'Expense Tracker Data'!V789</f>
        <v>0</v>
      </c>
      <c r="F791" s="15">
        <f t="shared" si="26"/>
        <v>0</v>
      </c>
      <c r="G791" s="15" t="str">
        <f>IF(AND(D791&gt;0,E791&gt;0),G790+Bottom_Line_Table[[#This Row],[Difference]],"N/A")</f>
        <v>N/A</v>
      </c>
    </row>
    <row r="792" spans="2:7" x14ac:dyDescent="0.3">
      <c r="B792" s="12">
        <v>67420</v>
      </c>
      <c r="C792" s="13">
        <f t="shared" si="27"/>
        <v>67450</v>
      </c>
      <c r="D792" s="14">
        <f>'Income Tracker Data'!V790</f>
        <v>0</v>
      </c>
      <c r="E792" s="15">
        <f>'Expense Tracker Data'!V790</f>
        <v>0</v>
      </c>
      <c r="F792" s="15">
        <f t="shared" si="26"/>
        <v>0</v>
      </c>
      <c r="G792" s="15" t="str">
        <f>IF(AND(D792&gt;0,E792&gt;0),G791+Bottom_Line_Table[[#This Row],[Difference]],"N/A")</f>
        <v>N/A</v>
      </c>
    </row>
    <row r="793" spans="2:7" x14ac:dyDescent="0.3">
      <c r="B793" s="12">
        <v>67451</v>
      </c>
      <c r="C793" s="13">
        <f t="shared" si="27"/>
        <v>67480</v>
      </c>
      <c r="D793" s="14">
        <f>'Income Tracker Data'!V791</f>
        <v>0</v>
      </c>
      <c r="E793" s="15">
        <f>'Expense Tracker Data'!V791</f>
        <v>0</v>
      </c>
      <c r="F793" s="15">
        <f t="shared" si="26"/>
        <v>0</v>
      </c>
      <c r="G793" s="15" t="str">
        <f>IF(AND(D793&gt;0,E793&gt;0),G792+Bottom_Line_Table[[#This Row],[Difference]],"N/A")</f>
        <v>N/A</v>
      </c>
    </row>
    <row r="794" spans="2:7" x14ac:dyDescent="0.3">
      <c r="B794" s="12">
        <v>67481</v>
      </c>
      <c r="C794" s="13">
        <f t="shared" si="27"/>
        <v>67511</v>
      </c>
      <c r="D794" s="14">
        <f>'Income Tracker Data'!V792</f>
        <v>0</v>
      </c>
      <c r="E794" s="15">
        <f>'Expense Tracker Data'!V792</f>
        <v>0</v>
      </c>
      <c r="F794" s="15">
        <f t="shared" si="26"/>
        <v>0</v>
      </c>
      <c r="G794" s="15" t="str">
        <f>IF(AND(D794&gt;0,E794&gt;0),G793+Bottom_Line_Table[[#This Row],[Difference]],"N/A")</f>
        <v>N/A</v>
      </c>
    </row>
    <row r="795" spans="2:7" x14ac:dyDescent="0.3">
      <c r="B795" s="12">
        <v>67512</v>
      </c>
      <c r="C795" s="13">
        <f t="shared" si="27"/>
        <v>67541</v>
      </c>
      <c r="D795" s="14">
        <f>'Income Tracker Data'!V793</f>
        <v>0</v>
      </c>
      <c r="E795" s="15">
        <f>'Expense Tracker Data'!V793</f>
        <v>0</v>
      </c>
      <c r="F795" s="15">
        <f t="shared" si="26"/>
        <v>0</v>
      </c>
      <c r="G795" s="15" t="str">
        <f>IF(AND(D795&gt;0,E795&gt;0),G794+Bottom_Line_Table[[#This Row],[Difference]],"N/A")</f>
        <v>N/A</v>
      </c>
    </row>
    <row r="796" spans="2:7" x14ac:dyDescent="0.3">
      <c r="B796" s="12">
        <v>67542</v>
      </c>
      <c r="C796" s="13">
        <f t="shared" si="27"/>
        <v>67572</v>
      </c>
      <c r="D796" s="14">
        <f>'Income Tracker Data'!V794</f>
        <v>0</v>
      </c>
      <c r="E796" s="15">
        <f>'Expense Tracker Data'!V794</f>
        <v>0</v>
      </c>
      <c r="F796" s="15">
        <f t="shared" si="26"/>
        <v>0</v>
      </c>
      <c r="G796" s="15" t="str">
        <f>IF(AND(D796&gt;0,E796&gt;0),G795+Bottom_Line_Table[[#This Row],[Difference]],"N/A")</f>
        <v>N/A</v>
      </c>
    </row>
    <row r="797" spans="2:7" x14ac:dyDescent="0.3">
      <c r="B797" s="12">
        <v>67573</v>
      </c>
      <c r="C797" s="13">
        <f t="shared" si="27"/>
        <v>67603</v>
      </c>
      <c r="D797" s="14">
        <f>'Income Tracker Data'!V795</f>
        <v>0</v>
      </c>
      <c r="E797" s="15">
        <f>'Expense Tracker Data'!V795</f>
        <v>0</v>
      </c>
      <c r="F797" s="15">
        <f t="shared" si="26"/>
        <v>0</v>
      </c>
      <c r="G797" s="15" t="str">
        <f>IF(AND(D797&gt;0,E797&gt;0),G796+Bottom_Line_Table[[#This Row],[Difference]],"N/A")</f>
        <v>N/A</v>
      </c>
    </row>
    <row r="798" spans="2:7" x14ac:dyDescent="0.3">
      <c r="B798" s="12">
        <v>67604</v>
      </c>
      <c r="C798" s="13">
        <f t="shared" si="27"/>
        <v>67631</v>
      </c>
      <c r="D798" s="14">
        <f>'Income Tracker Data'!V796</f>
        <v>0</v>
      </c>
      <c r="E798" s="15">
        <f>'Expense Tracker Data'!V796</f>
        <v>0</v>
      </c>
      <c r="F798" s="15">
        <f t="shared" si="26"/>
        <v>0</v>
      </c>
      <c r="G798" s="15" t="str">
        <f>IF(AND(D798&gt;0,E798&gt;0),G797+Bottom_Line_Table[[#This Row],[Difference]],"N/A")</f>
        <v>N/A</v>
      </c>
    </row>
    <row r="799" spans="2:7" x14ac:dyDescent="0.3">
      <c r="B799" s="12">
        <v>67632</v>
      </c>
      <c r="C799" s="13">
        <f t="shared" si="27"/>
        <v>67662</v>
      </c>
      <c r="D799" s="14">
        <f>'Income Tracker Data'!V797</f>
        <v>0</v>
      </c>
      <c r="E799" s="15">
        <f>'Expense Tracker Data'!V797</f>
        <v>0</v>
      </c>
      <c r="F799" s="15">
        <f t="shared" si="26"/>
        <v>0</v>
      </c>
      <c r="G799" s="15" t="str">
        <f>IF(AND(D799&gt;0,E799&gt;0),G798+Bottom_Line_Table[[#This Row],[Difference]],"N/A")</f>
        <v>N/A</v>
      </c>
    </row>
    <row r="800" spans="2:7" x14ac:dyDescent="0.3">
      <c r="B800" s="12">
        <v>67663</v>
      </c>
      <c r="C800" s="13">
        <f t="shared" si="27"/>
        <v>67692</v>
      </c>
      <c r="D800" s="14">
        <f>'Income Tracker Data'!V798</f>
        <v>0</v>
      </c>
      <c r="E800" s="15">
        <f>'Expense Tracker Data'!V798</f>
        <v>0</v>
      </c>
      <c r="F800" s="15">
        <f t="shared" si="26"/>
        <v>0</v>
      </c>
      <c r="G800" s="15" t="str">
        <f>IF(AND(D800&gt;0,E800&gt;0),G799+Bottom_Line_Table[[#This Row],[Difference]],"N/A")</f>
        <v>N/A</v>
      </c>
    </row>
    <row r="801" spans="2:7" x14ac:dyDescent="0.3">
      <c r="B801" s="12">
        <v>67693</v>
      </c>
      <c r="C801" s="13">
        <f t="shared" si="27"/>
        <v>67723</v>
      </c>
      <c r="D801" s="14">
        <f>'Income Tracker Data'!V799</f>
        <v>0</v>
      </c>
      <c r="E801" s="15">
        <f>'Expense Tracker Data'!V799</f>
        <v>0</v>
      </c>
      <c r="F801" s="15">
        <f t="shared" si="26"/>
        <v>0</v>
      </c>
      <c r="G801" s="15" t="str">
        <f>IF(AND(D801&gt;0,E801&gt;0),G800+Bottom_Line_Table[[#This Row],[Difference]],"N/A")</f>
        <v>N/A</v>
      </c>
    </row>
    <row r="802" spans="2:7" x14ac:dyDescent="0.3">
      <c r="B802" s="12">
        <v>67724</v>
      </c>
      <c r="C802" s="13">
        <f t="shared" si="27"/>
        <v>67753</v>
      </c>
      <c r="D802" s="14">
        <f>'Income Tracker Data'!V800</f>
        <v>0</v>
      </c>
      <c r="E802" s="15">
        <f>'Expense Tracker Data'!V800</f>
        <v>0</v>
      </c>
      <c r="F802" s="15">
        <f t="shared" si="26"/>
        <v>0</v>
      </c>
      <c r="G802" s="15" t="str">
        <f>IF(AND(D802&gt;0,E802&gt;0),G801+Bottom_Line_Table[[#This Row],[Difference]],"N/A")</f>
        <v>N/A</v>
      </c>
    </row>
    <row r="803" spans="2:7" x14ac:dyDescent="0.3">
      <c r="B803" s="12">
        <v>67754</v>
      </c>
      <c r="C803" s="13">
        <f t="shared" si="27"/>
        <v>67784</v>
      </c>
      <c r="D803" s="14">
        <f>'Income Tracker Data'!V801</f>
        <v>0</v>
      </c>
      <c r="E803" s="15">
        <f>'Expense Tracker Data'!V801</f>
        <v>0</v>
      </c>
      <c r="F803" s="15">
        <f t="shared" si="26"/>
        <v>0</v>
      </c>
      <c r="G803" s="15" t="str">
        <f>IF(AND(D803&gt;0,E803&gt;0),G802+Bottom_Line_Table[[#This Row],[Difference]],"N/A")</f>
        <v>N/A</v>
      </c>
    </row>
    <row r="804" spans="2:7" x14ac:dyDescent="0.3">
      <c r="B804" s="12">
        <v>67785</v>
      </c>
      <c r="C804" s="13">
        <f t="shared" si="27"/>
        <v>67815</v>
      </c>
      <c r="D804" s="14">
        <f>'Income Tracker Data'!V802</f>
        <v>0</v>
      </c>
      <c r="E804" s="15">
        <f>'Expense Tracker Data'!V802</f>
        <v>0</v>
      </c>
      <c r="F804" s="15">
        <f t="shared" si="26"/>
        <v>0</v>
      </c>
      <c r="G804" s="15" t="str">
        <f>IF(AND(D804&gt;0,E804&gt;0),G803+Bottom_Line_Table[[#This Row],[Difference]],"N/A")</f>
        <v>N/A</v>
      </c>
    </row>
    <row r="805" spans="2:7" x14ac:dyDescent="0.3">
      <c r="B805" s="12">
        <v>67816</v>
      </c>
      <c r="C805" s="13">
        <f t="shared" si="27"/>
        <v>67845</v>
      </c>
      <c r="D805" s="14">
        <f>'Income Tracker Data'!V803</f>
        <v>0</v>
      </c>
      <c r="E805" s="15">
        <f>'Expense Tracker Data'!V803</f>
        <v>0</v>
      </c>
      <c r="F805" s="15">
        <f t="shared" si="26"/>
        <v>0</v>
      </c>
      <c r="G805" s="15" t="str">
        <f>IF(AND(D805&gt;0,E805&gt;0),G804+Bottom_Line_Table[[#This Row],[Difference]],"N/A")</f>
        <v>N/A</v>
      </c>
    </row>
    <row r="806" spans="2:7" x14ac:dyDescent="0.3">
      <c r="B806" s="12">
        <v>67846</v>
      </c>
      <c r="C806" s="13">
        <f t="shared" si="27"/>
        <v>67876</v>
      </c>
      <c r="D806" s="14">
        <f>'Income Tracker Data'!V804</f>
        <v>0</v>
      </c>
      <c r="E806" s="15">
        <f>'Expense Tracker Data'!V804</f>
        <v>0</v>
      </c>
      <c r="F806" s="15">
        <f t="shared" si="26"/>
        <v>0</v>
      </c>
      <c r="G806" s="15" t="str">
        <f>IF(AND(D806&gt;0,E806&gt;0),G805+Bottom_Line_Table[[#This Row],[Difference]],"N/A")</f>
        <v>N/A</v>
      </c>
    </row>
    <row r="807" spans="2:7" x14ac:dyDescent="0.3">
      <c r="B807" s="12">
        <v>67877</v>
      </c>
      <c r="C807" s="13">
        <f t="shared" si="27"/>
        <v>67906</v>
      </c>
      <c r="D807" s="14">
        <f>'Income Tracker Data'!V805</f>
        <v>0</v>
      </c>
      <c r="E807" s="15">
        <f>'Expense Tracker Data'!V805</f>
        <v>0</v>
      </c>
      <c r="F807" s="15">
        <f t="shared" si="26"/>
        <v>0</v>
      </c>
      <c r="G807" s="15" t="str">
        <f>IF(AND(D807&gt;0,E807&gt;0),G806+Bottom_Line_Table[[#This Row],[Difference]],"N/A")</f>
        <v>N/A</v>
      </c>
    </row>
    <row r="808" spans="2:7" x14ac:dyDescent="0.3">
      <c r="B808" s="12">
        <v>67907</v>
      </c>
      <c r="C808" s="13">
        <f t="shared" si="27"/>
        <v>67937</v>
      </c>
      <c r="D808" s="14">
        <f>'Income Tracker Data'!V806</f>
        <v>0</v>
      </c>
      <c r="E808" s="15">
        <f>'Expense Tracker Data'!V806</f>
        <v>0</v>
      </c>
      <c r="F808" s="15">
        <f t="shared" si="26"/>
        <v>0</v>
      </c>
      <c r="G808" s="15" t="str">
        <f>IF(AND(D808&gt;0,E808&gt;0),G807+Bottom_Line_Table[[#This Row],[Difference]],"N/A")</f>
        <v>N/A</v>
      </c>
    </row>
    <row r="809" spans="2:7" x14ac:dyDescent="0.3">
      <c r="B809" s="12">
        <v>67938</v>
      </c>
      <c r="C809" s="13">
        <f t="shared" si="27"/>
        <v>67968</v>
      </c>
      <c r="D809" s="14">
        <f>'Income Tracker Data'!V807</f>
        <v>0</v>
      </c>
      <c r="E809" s="15">
        <f>'Expense Tracker Data'!V807</f>
        <v>0</v>
      </c>
      <c r="F809" s="15">
        <f t="shared" si="26"/>
        <v>0</v>
      </c>
      <c r="G809" s="15" t="str">
        <f>IF(AND(D809&gt;0,E809&gt;0),G808+Bottom_Line_Table[[#This Row],[Difference]],"N/A")</f>
        <v>N/A</v>
      </c>
    </row>
    <row r="810" spans="2:7" x14ac:dyDescent="0.3">
      <c r="B810" s="12">
        <v>67969</v>
      </c>
      <c r="C810" s="13">
        <f t="shared" si="27"/>
        <v>67996</v>
      </c>
      <c r="D810" s="14">
        <f>'Income Tracker Data'!V808</f>
        <v>0</v>
      </c>
      <c r="E810" s="15">
        <f>'Expense Tracker Data'!V808</f>
        <v>0</v>
      </c>
      <c r="F810" s="15">
        <f t="shared" si="26"/>
        <v>0</v>
      </c>
      <c r="G810" s="15" t="str">
        <f>IF(AND(D810&gt;0,E810&gt;0),G809+Bottom_Line_Table[[#This Row],[Difference]],"N/A")</f>
        <v>N/A</v>
      </c>
    </row>
    <row r="811" spans="2:7" x14ac:dyDescent="0.3">
      <c r="B811" s="12">
        <v>67997</v>
      </c>
      <c r="C811" s="13">
        <f t="shared" si="27"/>
        <v>68027</v>
      </c>
      <c r="D811" s="14">
        <f>'Income Tracker Data'!V809</f>
        <v>0</v>
      </c>
      <c r="E811" s="15">
        <f>'Expense Tracker Data'!V809</f>
        <v>0</v>
      </c>
      <c r="F811" s="15">
        <f t="shared" si="26"/>
        <v>0</v>
      </c>
      <c r="G811" s="15" t="str">
        <f>IF(AND(D811&gt;0,E811&gt;0),G810+Bottom_Line_Table[[#This Row],[Difference]],"N/A")</f>
        <v>N/A</v>
      </c>
    </row>
    <row r="812" spans="2:7" x14ac:dyDescent="0.3">
      <c r="B812" s="12">
        <v>68028</v>
      </c>
      <c r="C812" s="13">
        <f t="shared" si="27"/>
        <v>68057</v>
      </c>
      <c r="D812" s="14">
        <f>'Income Tracker Data'!V810</f>
        <v>0</v>
      </c>
      <c r="E812" s="15">
        <f>'Expense Tracker Data'!V810</f>
        <v>0</v>
      </c>
      <c r="F812" s="15">
        <f t="shared" si="26"/>
        <v>0</v>
      </c>
      <c r="G812" s="15" t="str">
        <f>IF(AND(D812&gt;0,E812&gt;0),G811+Bottom_Line_Table[[#This Row],[Difference]],"N/A")</f>
        <v>N/A</v>
      </c>
    </row>
    <row r="813" spans="2:7" x14ac:dyDescent="0.3">
      <c r="B813" s="12">
        <v>68058</v>
      </c>
      <c r="C813" s="13">
        <f t="shared" si="27"/>
        <v>68088</v>
      </c>
      <c r="D813" s="14">
        <f>'Income Tracker Data'!V811</f>
        <v>0</v>
      </c>
      <c r="E813" s="15">
        <f>'Expense Tracker Data'!V811</f>
        <v>0</v>
      </c>
      <c r="F813" s="15">
        <f t="shared" si="26"/>
        <v>0</v>
      </c>
      <c r="G813" s="15" t="str">
        <f>IF(AND(D813&gt;0,E813&gt;0),G812+Bottom_Line_Table[[#This Row],[Difference]],"N/A")</f>
        <v>N/A</v>
      </c>
    </row>
    <row r="814" spans="2:7" x14ac:dyDescent="0.3">
      <c r="B814" s="12">
        <v>68089</v>
      </c>
      <c r="C814" s="13">
        <f t="shared" si="27"/>
        <v>68118</v>
      </c>
      <c r="D814" s="14">
        <f>'Income Tracker Data'!V812</f>
        <v>0</v>
      </c>
      <c r="E814" s="15">
        <f>'Expense Tracker Data'!V812</f>
        <v>0</v>
      </c>
      <c r="F814" s="15">
        <f t="shared" si="26"/>
        <v>0</v>
      </c>
      <c r="G814" s="15" t="str">
        <f>IF(AND(D814&gt;0,E814&gt;0),G813+Bottom_Line_Table[[#This Row],[Difference]],"N/A")</f>
        <v>N/A</v>
      </c>
    </row>
    <row r="815" spans="2:7" x14ac:dyDescent="0.3">
      <c r="B815" s="12">
        <v>68119</v>
      </c>
      <c r="C815" s="13">
        <f t="shared" si="27"/>
        <v>68149</v>
      </c>
      <c r="D815" s="14">
        <f>'Income Tracker Data'!V813</f>
        <v>0</v>
      </c>
      <c r="E815" s="15">
        <f>'Expense Tracker Data'!V813</f>
        <v>0</v>
      </c>
      <c r="F815" s="15">
        <f t="shared" si="26"/>
        <v>0</v>
      </c>
      <c r="G815" s="15" t="str">
        <f>IF(AND(D815&gt;0,E815&gt;0),G814+Bottom_Line_Table[[#This Row],[Difference]],"N/A")</f>
        <v>N/A</v>
      </c>
    </row>
    <row r="816" spans="2:7" x14ac:dyDescent="0.3">
      <c r="B816" s="12">
        <v>68150</v>
      </c>
      <c r="C816" s="13">
        <f t="shared" si="27"/>
        <v>68180</v>
      </c>
      <c r="D816" s="14">
        <f>'Income Tracker Data'!V814</f>
        <v>0</v>
      </c>
      <c r="E816" s="15">
        <f>'Expense Tracker Data'!V814</f>
        <v>0</v>
      </c>
      <c r="F816" s="15">
        <f t="shared" si="26"/>
        <v>0</v>
      </c>
      <c r="G816" s="15" t="str">
        <f>IF(AND(D816&gt;0,E816&gt;0),G815+Bottom_Line_Table[[#This Row],[Difference]],"N/A")</f>
        <v>N/A</v>
      </c>
    </row>
    <row r="817" spans="2:7" x14ac:dyDescent="0.3">
      <c r="B817" s="12">
        <v>68181</v>
      </c>
      <c r="C817" s="13">
        <f t="shared" si="27"/>
        <v>68210</v>
      </c>
      <c r="D817" s="14">
        <f>'Income Tracker Data'!V815</f>
        <v>0</v>
      </c>
      <c r="E817" s="15">
        <f>'Expense Tracker Data'!V815</f>
        <v>0</v>
      </c>
      <c r="F817" s="15">
        <f t="shared" si="26"/>
        <v>0</v>
      </c>
      <c r="G817" s="15" t="str">
        <f>IF(AND(D817&gt;0,E817&gt;0),G816+Bottom_Line_Table[[#This Row],[Difference]],"N/A")</f>
        <v>N/A</v>
      </c>
    </row>
    <row r="818" spans="2:7" x14ac:dyDescent="0.3">
      <c r="B818" s="12">
        <v>68211</v>
      </c>
      <c r="C818" s="13">
        <f t="shared" si="27"/>
        <v>68241</v>
      </c>
      <c r="D818" s="14">
        <f>'Income Tracker Data'!V816</f>
        <v>0</v>
      </c>
      <c r="E818" s="15">
        <f>'Expense Tracker Data'!V816</f>
        <v>0</v>
      </c>
      <c r="F818" s="15">
        <f t="shared" si="26"/>
        <v>0</v>
      </c>
      <c r="G818" s="15" t="str">
        <f>IF(AND(D818&gt;0,E818&gt;0),G817+Bottom_Line_Table[[#This Row],[Difference]],"N/A")</f>
        <v>N/A</v>
      </c>
    </row>
    <row r="819" spans="2:7" x14ac:dyDescent="0.3">
      <c r="B819" s="12">
        <v>68242</v>
      </c>
      <c r="C819" s="13">
        <f t="shared" si="27"/>
        <v>68271</v>
      </c>
      <c r="D819" s="14">
        <f>'Income Tracker Data'!V817</f>
        <v>0</v>
      </c>
      <c r="E819" s="15">
        <f>'Expense Tracker Data'!V817</f>
        <v>0</v>
      </c>
      <c r="F819" s="15">
        <f t="shared" si="26"/>
        <v>0</v>
      </c>
      <c r="G819" s="15" t="str">
        <f>IF(AND(D819&gt;0,E819&gt;0),G818+Bottom_Line_Table[[#This Row],[Difference]],"N/A")</f>
        <v>N/A</v>
      </c>
    </row>
    <row r="820" spans="2:7" x14ac:dyDescent="0.3">
      <c r="B820" s="12">
        <v>68272</v>
      </c>
      <c r="C820" s="13">
        <f t="shared" si="27"/>
        <v>68302</v>
      </c>
      <c r="D820" s="14">
        <f>'Income Tracker Data'!V818</f>
        <v>0</v>
      </c>
      <c r="E820" s="15">
        <f>'Expense Tracker Data'!V818</f>
        <v>0</v>
      </c>
      <c r="F820" s="15">
        <f t="shared" si="26"/>
        <v>0</v>
      </c>
      <c r="G820" s="15" t="str">
        <f>IF(AND(D820&gt;0,E820&gt;0),G819+Bottom_Line_Table[[#This Row],[Difference]],"N/A")</f>
        <v>N/A</v>
      </c>
    </row>
    <row r="821" spans="2:7" x14ac:dyDescent="0.3">
      <c r="B821" s="12">
        <v>68303</v>
      </c>
      <c r="C821" s="13">
        <f t="shared" si="27"/>
        <v>68333</v>
      </c>
      <c r="D821" s="14">
        <f>'Income Tracker Data'!V819</f>
        <v>0</v>
      </c>
      <c r="E821" s="15">
        <f>'Expense Tracker Data'!V819</f>
        <v>0</v>
      </c>
      <c r="F821" s="15">
        <f t="shared" si="26"/>
        <v>0</v>
      </c>
      <c r="G821" s="15" t="str">
        <f>IF(AND(D821&gt;0,E821&gt;0),G820+Bottom_Line_Table[[#This Row],[Difference]],"N/A")</f>
        <v>N/A</v>
      </c>
    </row>
    <row r="822" spans="2:7" x14ac:dyDescent="0.3">
      <c r="B822" s="12">
        <v>68334</v>
      </c>
      <c r="C822" s="13">
        <f t="shared" si="27"/>
        <v>68361</v>
      </c>
      <c r="D822" s="14">
        <f>'Income Tracker Data'!V820</f>
        <v>0</v>
      </c>
      <c r="E822" s="15">
        <f>'Expense Tracker Data'!V820</f>
        <v>0</v>
      </c>
      <c r="F822" s="15">
        <f t="shared" si="26"/>
        <v>0</v>
      </c>
      <c r="G822" s="15" t="str">
        <f>IF(AND(D822&gt;0,E822&gt;0),G821+Bottom_Line_Table[[#This Row],[Difference]],"N/A")</f>
        <v>N/A</v>
      </c>
    </row>
    <row r="823" spans="2:7" x14ac:dyDescent="0.3">
      <c r="B823" s="12">
        <v>68362</v>
      </c>
      <c r="C823" s="13">
        <f t="shared" si="27"/>
        <v>68392</v>
      </c>
      <c r="D823" s="14">
        <f>'Income Tracker Data'!V821</f>
        <v>0</v>
      </c>
      <c r="E823" s="15">
        <f>'Expense Tracker Data'!V821</f>
        <v>0</v>
      </c>
      <c r="F823" s="15">
        <f t="shared" si="26"/>
        <v>0</v>
      </c>
      <c r="G823" s="15" t="str">
        <f>IF(AND(D823&gt;0,E823&gt;0),G822+Bottom_Line_Table[[#This Row],[Difference]],"N/A")</f>
        <v>N/A</v>
      </c>
    </row>
    <row r="824" spans="2:7" x14ac:dyDescent="0.3">
      <c r="B824" s="12">
        <v>68393</v>
      </c>
      <c r="C824" s="13">
        <f t="shared" si="27"/>
        <v>68422</v>
      </c>
      <c r="D824" s="14">
        <f>'Income Tracker Data'!V822</f>
        <v>0</v>
      </c>
      <c r="E824" s="15">
        <f>'Expense Tracker Data'!V822</f>
        <v>0</v>
      </c>
      <c r="F824" s="15">
        <f t="shared" si="26"/>
        <v>0</v>
      </c>
      <c r="G824" s="15" t="str">
        <f>IF(AND(D824&gt;0,E824&gt;0),G823+Bottom_Line_Table[[#This Row],[Difference]],"N/A")</f>
        <v>N/A</v>
      </c>
    </row>
    <row r="825" spans="2:7" x14ac:dyDescent="0.3">
      <c r="B825" s="12">
        <v>68423</v>
      </c>
      <c r="C825" s="13">
        <f t="shared" si="27"/>
        <v>68453</v>
      </c>
      <c r="D825" s="14">
        <f>'Income Tracker Data'!V823</f>
        <v>0</v>
      </c>
      <c r="E825" s="15">
        <f>'Expense Tracker Data'!V823</f>
        <v>0</v>
      </c>
      <c r="F825" s="15">
        <f t="shared" si="26"/>
        <v>0</v>
      </c>
      <c r="G825" s="15" t="str">
        <f>IF(AND(D825&gt;0,E825&gt;0),G824+Bottom_Line_Table[[#This Row],[Difference]],"N/A")</f>
        <v>N/A</v>
      </c>
    </row>
    <row r="826" spans="2:7" x14ac:dyDescent="0.3">
      <c r="B826" s="12">
        <v>68454</v>
      </c>
      <c r="C826" s="13">
        <f t="shared" si="27"/>
        <v>68483</v>
      </c>
      <c r="D826" s="14">
        <f>'Income Tracker Data'!V824</f>
        <v>0</v>
      </c>
      <c r="E826" s="15">
        <f>'Expense Tracker Data'!V824</f>
        <v>0</v>
      </c>
      <c r="F826" s="15">
        <f t="shared" si="26"/>
        <v>0</v>
      </c>
      <c r="G826" s="15" t="str">
        <f>IF(AND(D826&gt;0,E826&gt;0),G825+Bottom_Line_Table[[#This Row],[Difference]],"N/A")</f>
        <v>N/A</v>
      </c>
    </row>
    <row r="827" spans="2:7" x14ac:dyDescent="0.3">
      <c r="B827" s="12">
        <v>68484</v>
      </c>
      <c r="C827" s="13">
        <f t="shared" si="27"/>
        <v>68514</v>
      </c>
      <c r="D827" s="14">
        <f>'Income Tracker Data'!V825</f>
        <v>0</v>
      </c>
      <c r="E827" s="15">
        <f>'Expense Tracker Data'!V825</f>
        <v>0</v>
      </c>
      <c r="F827" s="15">
        <f t="shared" si="26"/>
        <v>0</v>
      </c>
      <c r="G827" s="15" t="str">
        <f>IF(AND(D827&gt;0,E827&gt;0),G826+Bottom_Line_Table[[#This Row],[Difference]],"N/A")</f>
        <v>N/A</v>
      </c>
    </row>
    <row r="828" spans="2:7" x14ac:dyDescent="0.3">
      <c r="B828" s="12">
        <v>68515</v>
      </c>
      <c r="C828" s="13">
        <f t="shared" si="27"/>
        <v>68545</v>
      </c>
      <c r="D828" s="14">
        <f>'Income Tracker Data'!V826</f>
        <v>0</v>
      </c>
      <c r="E828" s="15">
        <f>'Expense Tracker Data'!V826</f>
        <v>0</v>
      </c>
      <c r="F828" s="15">
        <f t="shared" si="26"/>
        <v>0</v>
      </c>
      <c r="G828" s="15" t="str">
        <f>IF(AND(D828&gt;0,E828&gt;0),G827+Bottom_Line_Table[[#This Row],[Difference]],"N/A")</f>
        <v>N/A</v>
      </c>
    </row>
    <row r="829" spans="2:7" x14ac:dyDescent="0.3">
      <c r="B829" s="12">
        <v>68546</v>
      </c>
      <c r="C829" s="13">
        <f t="shared" si="27"/>
        <v>68575</v>
      </c>
      <c r="D829" s="14">
        <f>'Income Tracker Data'!V827</f>
        <v>0</v>
      </c>
      <c r="E829" s="15">
        <f>'Expense Tracker Data'!V827</f>
        <v>0</v>
      </c>
      <c r="F829" s="15">
        <f t="shared" si="26"/>
        <v>0</v>
      </c>
      <c r="G829" s="15" t="str">
        <f>IF(AND(D829&gt;0,E829&gt;0),G828+Bottom_Line_Table[[#This Row],[Difference]],"N/A")</f>
        <v>N/A</v>
      </c>
    </row>
    <row r="830" spans="2:7" x14ac:dyDescent="0.3">
      <c r="B830" s="12">
        <v>68576</v>
      </c>
      <c r="C830" s="13">
        <f t="shared" si="27"/>
        <v>68606</v>
      </c>
      <c r="D830" s="14">
        <f>'Income Tracker Data'!V828</f>
        <v>0</v>
      </c>
      <c r="E830" s="15">
        <f>'Expense Tracker Data'!V828</f>
        <v>0</v>
      </c>
      <c r="F830" s="15">
        <f t="shared" si="26"/>
        <v>0</v>
      </c>
      <c r="G830" s="15" t="str">
        <f>IF(AND(D830&gt;0,E830&gt;0),G829+Bottom_Line_Table[[#This Row],[Difference]],"N/A")</f>
        <v>N/A</v>
      </c>
    </row>
    <row r="831" spans="2:7" x14ac:dyDescent="0.3">
      <c r="B831" s="12">
        <v>68607</v>
      </c>
      <c r="C831" s="13">
        <f t="shared" si="27"/>
        <v>68636</v>
      </c>
      <c r="D831" s="14">
        <f>'Income Tracker Data'!V829</f>
        <v>0</v>
      </c>
      <c r="E831" s="15">
        <f>'Expense Tracker Data'!V829</f>
        <v>0</v>
      </c>
      <c r="F831" s="15">
        <f t="shared" si="26"/>
        <v>0</v>
      </c>
      <c r="G831" s="15" t="str">
        <f>IF(AND(D831&gt;0,E831&gt;0),G830+Bottom_Line_Table[[#This Row],[Difference]],"N/A")</f>
        <v>N/A</v>
      </c>
    </row>
    <row r="832" spans="2:7" x14ac:dyDescent="0.3">
      <c r="B832" s="12">
        <v>68637</v>
      </c>
      <c r="C832" s="13">
        <f t="shared" si="27"/>
        <v>68667</v>
      </c>
      <c r="D832" s="14">
        <f>'Income Tracker Data'!V830</f>
        <v>0</v>
      </c>
      <c r="E832" s="15">
        <f>'Expense Tracker Data'!V830</f>
        <v>0</v>
      </c>
      <c r="F832" s="15">
        <f t="shared" si="26"/>
        <v>0</v>
      </c>
      <c r="G832" s="15" t="str">
        <f>IF(AND(D832&gt;0,E832&gt;0),G831+Bottom_Line_Table[[#This Row],[Difference]],"N/A")</f>
        <v>N/A</v>
      </c>
    </row>
    <row r="833" spans="2:7" x14ac:dyDescent="0.3">
      <c r="B833" s="12">
        <v>68668</v>
      </c>
      <c r="C833" s="13">
        <f t="shared" si="27"/>
        <v>68698</v>
      </c>
      <c r="D833" s="14">
        <f>'Income Tracker Data'!V831</f>
        <v>0</v>
      </c>
      <c r="E833" s="15">
        <f>'Expense Tracker Data'!V831</f>
        <v>0</v>
      </c>
      <c r="F833" s="15">
        <f t="shared" si="26"/>
        <v>0</v>
      </c>
      <c r="G833" s="15" t="str">
        <f>IF(AND(D833&gt;0,E833&gt;0),G832+Bottom_Line_Table[[#This Row],[Difference]],"N/A")</f>
        <v>N/A</v>
      </c>
    </row>
    <row r="834" spans="2:7" x14ac:dyDescent="0.3">
      <c r="B834" s="12">
        <v>68699</v>
      </c>
      <c r="C834" s="13">
        <f t="shared" si="27"/>
        <v>68727</v>
      </c>
      <c r="D834" s="14">
        <f>'Income Tracker Data'!V832</f>
        <v>0</v>
      </c>
      <c r="E834" s="15">
        <f>'Expense Tracker Data'!V832</f>
        <v>0</v>
      </c>
      <c r="F834" s="15">
        <f t="shared" si="26"/>
        <v>0</v>
      </c>
      <c r="G834" s="15" t="str">
        <f>IF(AND(D834&gt;0,E834&gt;0),G833+Bottom_Line_Table[[#This Row],[Difference]],"N/A")</f>
        <v>N/A</v>
      </c>
    </row>
    <row r="835" spans="2:7" x14ac:dyDescent="0.3">
      <c r="B835" s="12">
        <v>68728</v>
      </c>
      <c r="C835" s="13">
        <f t="shared" si="27"/>
        <v>68758</v>
      </c>
      <c r="D835" s="14">
        <f>'Income Tracker Data'!V833</f>
        <v>0</v>
      </c>
      <c r="E835" s="15">
        <f>'Expense Tracker Data'!V833</f>
        <v>0</v>
      </c>
      <c r="F835" s="15">
        <f t="shared" si="26"/>
        <v>0</v>
      </c>
      <c r="G835" s="15" t="str">
        <f>IF(AND(D835&gt;0,E835&gt;0),G834+Bottom_Line_Table[[#This Row],[Difference]],"N/A")</f>
        <v>N/A</v>
      </c>
    </row>
    <row r="836" spans="2:7" x14ac:dyDescent="0.3">
      <c r="B836" s="12">
        <v>68759</v>
      </c>
      <c r="C836" s="13">
        <f t="shared" si="27"/>
        <v>68788</v>
      </c>
      <c r="D836" s="14">
        <f>'Income Tracker Data'!V834</f>
        <v>0</v>
      </c>
      <c r="E836" s="15">
        <f>'Expense Tracker Data'!V834</f>
        <v>0</v>
      </c>
      <c r="F836" s="15">
        <f t="shared" si="26"/>
        <v>0</v>
      </c>
      <c r="G836" s="15" t="str">
        <f>IF(AND(D836&gt;0,E836&gt;0),G835+Bottom_Line_Table[[#This Row],[Difference]],"N/A")</f>
        <v>N/A</v>
      </c>
    </row>
    <row r="837" spans="2:7" x14ac:dyDescent="0.3">
      <c r="B837" s="12">
        <v>68789</v>
      </c>
      <c r="C837" s="13">
        <f t="shared" si="27"/>
        <v>68819</v>
      </c>
      <c r="D837" s="14">
        <f>'Income Tracker Data'!V835</f>
        <v>0</v>
      </c>
      <c r="E837" s="15">
        <f>'Expense Tracker Data'!V835</f>
        <v>0</v>
      </c>
      <c r="F837" s="15">
        <f t="shared" si="26"/>
        <v>0</v>
      </c>
      <c r="G837" s="15" t="str">
        <f>IF(AND(D837&gt;0,E837&gt;0),G836+Bottom_Line_Table[[#This Row],[Difference]],"N/A")</f>
        <v>N/A</v>
      </c>
    </row>
    <row r="838" spans="2:7" x14ac:dyDescent="0.3">
      <c r="B838" s="12">
        <v>68820</v>
      </c>
      <c r="C838" s="13">
        <f t="shared" si="27"/>
        <v>68849</v>
      </c>
      <c r="D838" s="14">
        <f>'Income Tracker Data'!V836</f>
        <v>0</v>
      </c>
      <c r="E838" s="15">
        <f>'Expense Tracker Data'!V836</f>
        <v>0</v>
      </c>
      <c r="F838" s="15">
        <f t="shared" ref="F838:F901" si="28">D838-E838</f>
        <v>0</v>
      </c>
      <c r="G838" s="15" t="str">
        <f>IF(AND(D838&gt;0,E838&gt;0),G837+Bottom_Line_Table[[#This Row],[Difference]],"N/A")</f>
        <v>N/A</v>
      </c>
    </row>
    <row r="839" spans="2:7" x14ac:dyDescent="0.3">
      <c r="B839" s="12">
        <v>68850</v>
      </c>
      <c r="C839" s="13">
        <f t="shared" si="27"/>
        <v>68880</v>
      </c>
      <c r="D839" s="14">
        <f>'Income Tracker Data'!V837</f>
        <v>0</v>
      </c>
      <c r="E839" s="15">
        <f>'Expense Tracker Data'!V837</f>
        <v>0</v>
      </c>
      <c r="F839" s="15">
        <f t="shared" si="28"/>
        <v>0</v>
      </c>
      <c r="G839" s="15" t="str">
        <f>IF(AND(D839&gt;0,E839&gt;0),G838+Bottom_Line_Table[[#This Row],[Difference]],"N/A")</f>
        <v>N/A</v>
      </c>
    </row>
    <row r="840" spans="2:7" x14ac:dyDescent="0.3">
      <c r="B840" s="12">
        <v>68881</v>
      </c>
      <c r="C840" s="13">
        <f t="shared" si="27"/>
        <v>68911</v>
      </c>
      <c r="D840" s="14">
        <f>'Income Tracker Data'!V838</f>
        <v>0</v>
      </c>
      <c r="E840" s="15">
        <f>'Expense Tracker Data'!V838</f>
        <v>0</v>
      </c>
      <c r="F840" s="15">
        <f t="shared" si="28"/>
        <v>0</v>
      </c>
      <c r="G840" s="15" t="str">
        <f>IF(AND(D840&gt;0,E840&gt;0),G839+Bottom_Line_Table[[#This Row],[Difference]],"N/A")</f>
        <v>N/A</v>
      </c>
    </row>
    <row r="841" spans="2:7" x14ac:dyDescent="0.3">
      <c r="B841" s="12">
        <v>68912</v>
      </c>
      <c r="C841" s="13">
        <f t="shared" si="27"/>
        <v>68941</v>
      </c>
      <c r="D841" s="14">
        <f>'Income Tracker Data'!V839</f>
        <v>0</v>
      </c>
      <c r="E841" s="15">
        <f>'Expense Tracker Data'!V839</f>
        <v>0</v>
      </c>
      <c r="F841" s="15">
        <f t="shared" si="28"/>
        <v>0</v>
      </c>
      <c r="G841" s="15" t="str">
        <f>IF(AND(D841&gt;0,E841&gt;0),G840+Bottom_Line_Table[[#This Row],[Difference]],"N/A")</f>
        <v>N/A</v>
      </c>
    </row>
    <row r="842" spans="2:7" x14ac:dyDescent="0.3">
      <c r="B842" s="12">
        <v>68942</v>
      </c>
      <c r="C842" s="13">
        <f t="shared" si="27"/>
        <v>68972</v>
      </c>
      <c r="D842" s="14">
        <f>'Income Tracker Data'!V840</f>
        <v>0</v>
      </c>
      <c r="E842" s="15">
        <f>'Expense Tracker Data'!V840</f>
        <v>0</v>
      </c>
      <c r="F842" s="15">
        <f t="shared" si="28"/>
        <v>0</v>
      </c>
      <c r="G842" s="15" t="str">
        <f>IF(AND(D842&gt;0,E842&gt;0),G841+Bottom_Line_Table[[#This Row],[Difference]],"N/A")</f>
        <v>N/A</v>
      </c>
    </row>
    <row r="843" spans="2:7" x14ac:dyDescent="0.3">
      <c r="B843" s="12">
        <v>68973</v>
      </c>
      <c r="C843" s="13">
        <f t="shared" ref="C843:C906" si="29">EOMONTH(B843,0)</f>
        <v>69002</v>
      </c>
      <c r="D843" s="14">
        <f>'Income Tracker Data'!V841</f>
        <v>0</v>
      </c>
      <c r="E843" s="15">
        <f>'Expense Tracker Data'!V841</f>
        <v>0</v>
      </c>
      <c r="F843" s="15">
        <f t="shared" si="28"/>
        <v>0</v>
      </c>
      <c r="G843" s="15" t="str">
        <f>IF(AND(D843&gt;0,E843&gt;0),G842+Bottom_Line_Table[[#This Row],[Difference]],"N/A")</f>
        <v>N/A</v>
      </c>
    </row>
    <row r="844" spans="2:7" x14ac:dyDescent="0.3">
      <c r="B844" s="12">
        <v>69003</v>
      </c>
      <c r="C844" s="13">
        <f t="shared" si="29"/>
        <v>69033</v>
      </c>
      <c r="D844" s="14">
        <f>'Income Tracker Data'!V842</f>
        <v>0</v>
      </c>
      <c r="E844" s="15">
        <f>'Expense Tracker Data'!V842</f>
        <v>0</v>
      </c>
      <c r="F844" s="15">
        <f t="shared" si="28"/>
        <v>0</v>
      </c>
      <c r="G844" s="15" t="str">
        <f>IF(AND(D844&gt;0,E844&gt;0),G843+Bottom_Line_Table[[#This Row],[Difference]],"N/A")</f>
        <v>N/A</v>
      </c>
    </row>
    <row r="845" spans="2:7" x14ac:dyDescent="0.3">
      <c r="B845" s="12">
        <v>69034</v>
      </c>
      <c r="C845" s="13">
        <f t="shared" si="29"/>
        <v>69064</v>
      </c>
      <c r="D845" s="14">
        <f>'Income Tracker Data'!V843</f>
        <v>0</v>
      </c>
      <c r="E845" s="15">
        <f>'Expense Tracker Data'!V843</f>
        <v>0</v>
      </c>
      <c r="F845" s="15">
        <f t="shared" si="28"/>
        <v>0</v>
      </c>
      <c r="G845" s="15" t="str">
        <f>IF(AND(D845&gt;0,E845&gt;0),G844+Bottom_Line_Table[[#This Row],[Difference]],"N/A")</f>
        <v>N/A</v>
      </c>
    </row>
    <row r="846" spans="2:7" x14ac:dyDescent="0.3">
      <c r="B846" s="12">
        <v>69065</v>
      </c>
      <c r="C846" s="13">
        <f t="shared" si="29"/>
        <v>69092</v>
      </c>
      <c r="D846" s="14">
        <f>'Income Tracker Data'!V844</f>
        <v>0</v>
      </c>
      <c r="E846" s="15">
        <f>'Expense Tracker Data'!V844</f>
        <v>0</v>
      </c>
      <c r="F846" s="15">
        <f t="shared" si="28"/>
        <v>0</v>
      </c>
      <c r="G846" s="15" t="str">
        <f>IF(AND(D846&gt;0,E846&gt;0),G845+Bottom_Line_Table[[#This Row],[Difference]],"N/A")</f>
        <v>N/A</v>
      </c>
    </row>
    <row r="847" spans="2:7" x14ac:dyDescent="0.3">
      <c r="B847" s="12">
        <v>69093</v>
      </c>
      <c r="C847" s="13">
        <f t="shared" si="29"/>
        <v>69123</v>
      </c>
      <c r="D847" s="14">
        <f>'Income Tracker Data'!V845</f>
        <v>0</v>
      </c>
      <c r="E847" s="15">
        <f>'Expense Tracker Data'!V845</f>
        <v>0</v>
      </c>
      <c r="F847" s="15">
        <f t="shared" si="28"/>
        <v>0</v>
      </c>
      <c r="G847" s="15" t="str">
        <f>IF(AND(D847&gt;0,E847&gt;0),G846+Bottom_Line_Table[[#This Row],[Difference]],"N/A")</f>
        <v>N/A</v>
      </c>
    </row>
    <row r="848" spans="2:7" x14ac:dyDescent="0.3">
      <c r="B848" s="12">
        <v>69124</v>
      </c>
      <c r="C848" s="13">
        <f t="shared" si="29"/>
        <v>69153</v>
      </c>
      <c r="D848" s="14">
        <f>'Income Tracker Data'!V846</f>
        <v>0</v>
      </c>
      <c r="E848" s="15">
        <f>'Expense Tracker Data'!V846</f>
        <v>0</v>
      </c>
      <c r="F848" s="15">
        <f t="shared" si="28"/>
        <v>0</v>
      </c>
      <c r="G848" s="15" t="str">
        <f>IF(AND(D848&gt;0,E848&gt;0),G847+Bottom_Line_Table[[#This Row],[Difference]],"N/A")</f>
        <v>N/A</v>
      </c>
    </row>
    <row r="849" spans="2:7" x14ac:dyDescent="0.3">
      <c r="B849" s="12">
        <v>69154</v>
      </c>
      <c r="C849" s="13">
        <f t="shared" si="29"/>
        <v>69184</v>
      </c>
      <c r="D849" s="14">
        <f>'Income Tracker Data'!V847</f>
        <v>0</v>
      </c>
      <c r="E849" s="15">
        <f>'Expense Tracker Data'!V847</f>
        <v>0</v>
      </c>
      <c r="F849" s="15">
        <f t="shared" si="28"/>
        <v>0</v>
      </c>
      <c r="G849" s="15" t="str">
        <f>IF(AND(D849&gt;0,E849&gt;0),G848+Bottom_Line_Table[[#This Row],[Difference]],"N/A")</f>
        <v>N/A</v>
      </c>
    </row>
    <row r="850" spans="2:7" x14ac:dyDescent="0.3">
      <c r="B850" s="12">
        <v>69185</v>
      </c>
      <c r="C850" s="13">
        <f t="shared" si="29"/>
        <v>69214</v>
      </c>
      <c r="D850" s="14">
        <f>'Income Tracker Data'!V848</f>
        <v>0</v>
      </c>
      <c r="E850" s="15">
        <f>'Expense Tracker Data'!V848</f>
        <v>0</v>
      </c>
      <c r="F850" s="15">
        <f t="shared" si="28"/>
        <v>0</v>
      </c>
      <c r="G850" s="15" t="str">
        <f>IF(AND(D850&gt;0,E850&gt;0),G849+Bottom_Line_Table[[#This Row],[Difference]],"N/A")</f>
        <v>N/A</v>
      </c>
    </row>
    <row r="851" spans="2:7" x14ac:dyDescent="0.3">
      <c r="B851" s="12">
        <v>69215</v>
      </c>
      <c r="C851" s="13">
        <f t="shared" si="29"/>
        <v>69245</v>
      </c>
      <c r="D851" s="14">
        <f>'Income Tracker Data'!V849</f>
        <v>0</v>
      </c>
      <c r="E851" s="15">
        <f>'Expense Tracker Data'!V849</f>
        <v>0</v>
      </c>
      <c r="F851" s="15">
        <f t="shared" si="28"/>
        <v>0</v>
      </c>
      <c r="G851" s="15" t="str">
        <f>IF(AND(D851&gt;0,E851&gt;0),G850+Bottom_Line_Table[[#This Row],[Difference]],"N/A")</f>
        <v>N/A</v>
      </c>
    </row>
    <row r="852" spans="2:7" x14ac:dyDescent="0.3">
      <c r="B852" s="12">
        <v>69246</v>
      </c>
      <c r="C852" s="13">
        <f t="shared" si="29"/>
        <v>69276</v>
      </c>
      <c r="D852" s="14">
        <f>'Income Tracker Data'!V850</f>
        <v>0</v>
      </c>
      <c r="E852" s="15">
        <f>'Expense Tracker Data'!V850</f>
        <v>0</v>
      </c>
      <c r="F852" s="15">
        <f t="shared" si="28"/>
        <v>0</v>
      </c>
      <c r="G852" s="15" t="str">
        <f>IF(AND(D852&gt;0,E852&gt;0),G851+Bottom_Line_Table[[#This Row],[Difference]],"N/A")</f>
        <v>N/A</v>
      </c>
    </row>
    <row r="853" spans="2:7" x14ac:dyDescent="0.3">
      <c r="B853" s="12">
        <v>69277</v>
      </c>
      <c r="C853" s="13">
        <f t="shared" si="29"/>
        <v>69306</v>
      </c>
      <c r="D853" s="14">
        <f>'Income Tracker Data'!V851</f>
        <v>0</v>
      </c>
      <c r="E853" s="15">
        <f>'Expense Tracker Data'!V851</f>
        <v>0</v>
      </c>
      <c r="F853" s="15">
        <f t="shared" si="28"/>
        <v>0</v>
      </c>
      <c r="G853" s="15" t="str">
        <f>IF(AND(D853&gt;0,E853&gt;0),G852+Bottom_Line_Table[[#This Row],[Difference]],"N/A")</f>
        <v>N/A</v>
      </c>
    </row>
    <row r="854" spans="2:7" x14ac:dyDescent="0.3">
      <c r="B854" s="12">
        <v>69307</v>
      </c>
      <c r="C854" s="13">
        <f t="shared" si="29"/>
        <v>69337</v>
      </c>
      <c r="D854" s="14">
        <f>'Income Tracker Data'!V852</f>
        <v>0</v>
      </c>
      <c r="E854" s="15">
        <f>'Expense Tracker Data'!V852</f>
        <v>0</v>
      </c>
      <c r="F854" s="15">
        <f t="shared" si="28"/>
        <v>0</v>
      </c>
      <c r="G854" s="15" t="str">
        <f>IF(AND(D854&gt;0,E854&gt;0),G853+Bottom_Line_Table[[#This Row],[Difference]],"N/A")</f>
        <v>N/A</v>
      </c>
    </row>
    <row r="855" spans="2:7" x14ac:dyDescent="0.3">
      <c r="B855" s="12">
        <v>69338</v>
      </c>
      <c r="C855" s="13">
        <f t="shared" si="29"/>
        <v>69367</v>
      </c>
      <c r="D855" s="14">
        <f>'Income Tracker Data'!V853</f>
        <v>0</v>
      </c>
      <c r="E855" s="15">
        <f>'Expense Tracker Data'!V853</f>
        <v>0</v>
      </c>
      <c r="F855" s="15">
        <f t="shared" si="28"/>
        <v>0</v>
      </c>
      <c r="G855" s="15" t="str">
        <f>IF(AND(D855&gt;0,E855&gt;0),G854+Bottom_Line_Table[[#This Row],[Difference]],"N/A")</f>
        <v>N/A</v>
      </c>
    </row>
    <row r="856" spans="2:7" x14ac:dyDescent="0.3">
      <c r="B856" s="12">
        <v>69368</v>
      </c>
      <c r="C856" s="13">
        <f t="shared" si="29"/>
        <v>69398</v>
      </c>
      <c r="D856" s="14">
        <f>'Income Tracker Data'!V854</f>
        <v>0</v>
      </c>
      <c r="E856" s="15">
        <f>'Expense Tracker Data'!V854</f>
        <v>0</v>
      </c>
      <c r="F856" s="15">
        <f t="shared" si="28"/>
        <v>0</v>
      </c>
      <c r="G856" s="15" t="str">
        <f>IF(AND(D856&gt;0,E856&gt;0),G855+Bottom_Line_Table[[#This Row],[Difference]],"N/A")</f>
        <v>N/A</v>
      </c>
    </row>
    <row r="857" spans="2:7" x14ac:dyDescent="0.3">
      <c r="B857" s="12">
        <v>69399</v>
      </c>
      <c r="C857" s="13">
        <f t="shared" si="29"/>
        <v>69429</v>
      </c>
      <c r="D857" s="14">
        <f>'Income Tracker Data'!V855</f>
        <v>0</v>
      </c>
      <c r="E857" s="15">
        <f>'Expense Tracker Data'!V855</f>
        <v>0</v>
      </c>
      <c r="F857" s="15">
        <f t="shared" si="28"/>
        <v>0</v>
      </c>
      <c r="G857" s="15" t="str">
        <f>IF(AND(D857&gt;0,E857&gt;0),G856+Bottom_Line_Table[[#This Row],[Difference]],"N/A")</f>
        <v>N/A</v>
      </c>
    </row>
    <row r="858" spans="2:7" x14ac:dyDescent="0.3">
      <c r="B858" s="12">
        <v>69430</v>
      </c>
      <c r="C858" s="13">
        <f t="shared" si="29"/>
        <v>69457</v>
      </c>
      <c r="D858" s="14">
        <f>'Income Tracker Data'!V856</f>
        <v>0</v>
      </c>
      <c r="E858" s="15">
        <f>'Expense Tracker Data'!V856</f>
        <v>0</v>
      </c>
      <c r="F858" s="15">
        <f t="shared" si="28"/>
        <v>0</v>
      </c>
      <c r="G858" s="15" t="str">
        <f>IF(AND(D858&gt;0,E858&gt;0),G857+Bottom_Line_Table[[#This Row],[Difference]],"N/A")</f>
        <v>N/A</v>
      </c>
    </row>
    <row r="859" spans="2:7" x14ac:dyDescent="0.3">
      <c r="B859" s="12">
        <v>69458</v>
      </c>
      <c r="C859" s="13">
        <f t="shared" si="29"/>
        <v>69488</v>
      </c>
      <c r="D859" s="14">
        <f>'Income Tracker Data'!V857</f>
        <v>0</v>
      </c>
      <c r="E859" s="15">
        <f>'Expense Tracker Data'!V857</f>
        <v>0</v>
      </c>
      <c r="F859" s="15">
        <f t="shared" si="28"/>
        <v>0</v>
      </c>
      <c r="G859" s="15" t="str">
        <f>IF(AND(D859&gt;0,E859&gt;0),G858+Bottom_Line_Table[[#This Row],[Difference]],"N/A")</f>
        <v>N/A</v>
      </c>
    </row>
    <row r="860" spans="2:7" x14ac:dyDescent="0.3">
      <c r="B860" s="12">
        <v>69489</v>
      </c>
      <c r="C860" s="13">
        <f t="shared" si="29"/>
        <v>69518</v>
      </c>
      <c r="D860" s="14">
        <f>'Income Tracker Data'!V858</f>
        <v>0</v>
      </c>
      <c r="E860" s="15">
        <f>'Expense Tracker Data'!V858</f>
        <v>0</v>
      </c>
      <c r="F860" s="15">
        <f t="shared" si="28"/>
        <v>0</v>
      </c>
      <c r="G860" s="15" t="str">
        <f>IF(AND(D860&gt;0,E860&gt;0),G859+Bottom_Line_Table[[#This Row],[Difference]],"N/A")</f>
        <v>N/A</v>
      </c>
    </row>
    <row r="861" spans="2:7" x14ac:dyDescent="0.3">
      <c r="B861" s="12">
        <v>69519</v>
      </c>
      <c r="C861" s="13">
        <f t="shared" si="29"/>
        <v>69549</v>
      </c>
      <c r="D861" s="14">
        <f>'Income Tracker Data'!V859</f>
        <v>0</v>
      </c>
      <c r="E861" s="15">
        <f>'Expense Tracker Data'!V859</f>
        <v>0</v>
      </c>
      <c r="F861" s="15">
        <f t="shared" si="28"/>
        <v>0</v>
      </c>
      <c r="G861" s="15" t="str">
        <f>IF(AND(D861&gt;0,E861&gt;0),G860+Bottom_Line_Table[[#This Row],[Difference]],"N/A")</f>
        <v>N/A</v>
      </c>
    </row>
    <row r="862" spans="2:7" x14ac:dyDescent="0.3">
      <c r="B862" s="12">
        <v>69550</v>
      </c>
      <c r="C862" s="13">
        <f t="shared" si="29"/>
        <v>69579</v>
      </c>
      <c r="D862" s="14">
        <f>'Income Tracker Data'!V860</f>
        <v>0</v>
      </c>
      <c r="E862" s="15">
        <f>'Expense Tracker Data'!V860</f>
        <v>0</v>
      </c>
      <c r="F862" s="15">
        <f t="shared" si="28"/>
        <v>0</v>
      </c>
      <c r="G862" s="15" t="str">
        <f>IF(AND(D862&gt;0,E862&gt;0),G861+Bottom_Line_Table[[#This Row],[Difference]],"N/A")</f>
        <v>N/A</v>
      </c>
    </row>
    <row r="863" spans="2:7" x14ac:dyDescent="0.3">
      <c r="B863" s="12">
        <v>69580</v>
      </c>
      <c r="C863" s="13">
        <f t="shared" si="29"/>
        <v>69610</v>
      </c>
      <c r="D863" s="14">
        <f>'Income Tracker Data'!V861</f>
        <v>0</v>
      </c>
      <c r="E863" s="15">
        <f>'Expense Tracker Data'!V861</f>
        <v>0</v>
      </c>
      <c r="F863" s="15">
        <f t="shared" si="28"/>
        <v>0</v>
      </c>
      <c r="G863" s="15" t="str">
        <f>IF(AND(D863&gt;0,E863&gt;0),G862+Bottom_Line_Table[[#This Row],[Difference]],"N/A")</f>
        <v>N/A</v>
      </c>
    </row>
    <row r="864" spans="2:7" x14ac:dyDescent="0.3">
      <c r="B864" s="12">
        <v>69611</v>
      </c>
      <c r="C864" s="13">
        <f t="shared" si="29"/>
        <v>69641</v>
      </c>
      <c r="D864" s="14">
        <f>'Income Tracker Data'!V862</f>
        <v>0</v>
      </c>
      <c r="E864" s="15">
        <f>'Expense Tracker Data'!V862</f>
        <v>0</v>
      </c>
      <c r="F864" s="15">
        <f t="shared" si="28"/>
        <v>0</v>
      </c>
      <c r="G864" s="15" t="str">
        <f>IF(AND(D864&gt;0,E864&gt;0),G863+Bottom_Line_Table[[#This Row],[Difference]],"N/A")</f>
        <v>N/A</v>
      </c>
    </row>
    <row r="865" spans="2:7" x14ac:dyDescent="0.3">
      <c r="B865" s="12">
        <v>69642</v>
      </c>
      <c r="C865" s="13">
        <f t="shared" si="29"/>
        <v>69671</v>
      </c>
      <c r="D865" s="14">
        <f>'Income Tracker Data'!V863</f>
        <v>0</v>
      </c>
      <c r="E865" s="15">
        <f>'Expense Tracker Data'!V863</f>
        <v>0</v>
      </c>
      <c r="F865" s="15">
        <f t="shared" si="28"/>
        <v>0</v>
      </c>
      <c r="G865" s="15" t="str">
        <f>IF(AND(D865&gt;0,E865&gt;0),G864+Bottom_Line_Table[[#This Row],[Difference]],"N/A")</f>
        <v>N/A</v>
      </c>
    </row>
    <row r="866" spans="2:7" x14ac:dyDescent="0.3">
      <c r="B866" s="12">
        <v>69672</v>
      </c>
      <c r="C866" s="13">
        <f t="shared" si="29"/>
        <v>69702</v>
      </c>
      <c r="D866" s="14">
        <f>'Income Tracker Data'!V864</f>
        <v>0</v>
      </c>
      <c r="E866" s="15">
        <f>'Expense Tracker Data'!V864</f>
        <v>0</v>
      </c>
      <c r="F866" s="15">
        <f t="shared" si="28"/>
        <v>0</v>
      </c>
      <c r="G866" s="15" t="str">
        <f>IF(AND(D866&gt;0,E866&gt;0),G865+Bottom_Line_Table[[#This Row],[Difference]],"N/A")</f>
        <v>N/A</v>
      </c>
    </row>
    <row r="867" spans="2:7" x14ac:dyDescent="0.3">
      <c r="B867" s="12">
        <v>69703</v>
      </c>
      <c r="C867" s="13">
        <f t="shared" si="29"/>
        <v>69732</v>
      </c>
      <c r="D867" s="14">
        <f>'Income Tracker Data'!V865</f>
        <v>0</v>
      </c>
      <c r="E867" s="15">
        <f>'Expense Tracker Data'!V865</f>
        <v>0</v>
      </c>
      <c r="F867" s="15">
        <f t="shared" si="28"/>
        <v>0</v>
      </c>
      <c r="G867" s="15" t="str">
        <f>IF(AND(D867&gt;0,E867&gt;0),G866+Bottom_Line_Table[[#This Row],[Difference]],"N/A")</f>
        <v>N/A</v>
      </c>
    </row>
    <row r="868" spans="2:7" x14ac:dyDescent="0.3">
      <c r="B868" s="12">
        <v>69733</v>
      </c>
      <c r="C868" s="13">
        <f t="shared" si="29"/>
        <v>69763</v>
      </c>
      <c r="D868" s="14">
        <f>'Income Tracker Data'!V866</f>
        <v>0</v>
      </c>
      <c r="E868" s="15">
        <f>'Expense Tracker Data'!V866</f>
        <v>0</v>
      </c>
      <c r="F868" s="15">
        <f t="shared" si="28"/>
        <v>0</v>
      </c>
      <c r="G868" s="15" t="str">
        <f>IF(AND(D868&gt;0,E868&gt;0),G867+Bottom_Line_Table[[#This Row],[Difference]],"N/A")</f>
        <v>N/A</v>
      </c>
    </row>
    <row r="869" spans="2:7" x14ac:dyDescent="0.3">
      <c r="B869" s="12">
        <v>69764</v>
      </c>
      <c r="C869" s="13">
        <f t="shared" si="29"/>
        <v>69794</v>
      </c>
      <c r="D869" s="14">
        <f>'Income Tracker Data'!V867</f>
        <v>0</v>
      </c>
      <c r="E869" s="15">
        <f>'Expense Tracker Data'!V867</f>
        <v>0</v>
      </c>
      <c r="F869" s="15">
        <f t="shared" si="28"/>
        <v>0</v>
      </c>
      <c r="G869" s="15" t="str">
        <f>IF(AND(D869&gt;0,E869&gt;0),G868+Bottom_Line_Table[[#This Row],[Difference]],"N/A")</f>
        <v>N/A</v>
      </c>
    </row>
    <row r="870" spans="2:7" x14ac:dyDescent="0.3">
      <c r="B870" s="12">
        <v>69795</v>
      </c>
      <c r="C870" s="13">
        <f t="shared" si="29"/>
        <v>69822</v>
      </c>
      <c r="D870" s="14">
        <f>'Income Tracker Data'!V868</f>
        <v>0</v>
      </c>
      <c r="E870" s="15">
        <f>'Expense Tracker Data'!V868</f>
        <v>0</v>
      </c>
      <c r="F870" s="15">
        <f t="shared" si="28"/>
        <v>0</v>
      </c>
      <c r="G870" s="15" t="str">
        <f>IF(AND(D870&gt;0,E870&gt;0),G869+Bottom_Line_Table[[#This Row],[Difference]],"N/A")</f>
        <v>N/A</v>
      </c>
    </row>
    <row r="871" spans="2:7" x14ac:dyDescent="0.3">
      <c r="B871" s="12">
        <v>69823</v>
      </c>
      <c r="C871" s="13">
        <f t="shared" si="29"/>
        <v>69853</v>
      </c>
      <c r="D871" s="14">
        <f>'Income Tracker Data'!V869</f>
        <v>0</v>
      </c>
      <c r="E871" s="15">
        <f>'Expense Tracker Data'!V869</f>
        <v>0</v>
      </c>
      <c r="F871" s="15">
        <f t="shared" si="28"/>
        <v>0</v>
      </c>
      <c r="G871" s="15" t="str">
        <f>IF(AND(D871&gt;0,E871&gt;0),G870+Bottom_Line_Table[[#This Row],[Difference]],"N/A")</f>
        <v>N/A</v>
      </c>
    </row>
    <row r="872" spans="2:7" x14ac:dyDescent="0.3">
      <c r="B872" s="12">
        <v>69854</v>
      </c>
      <c r="C872" s="13">
        <f t="shared" si="29"/>
        <v>69883</v>
      </c>
      <c r="D872" s="14">
        <f>'Income Tracker Data'!V870</f>
        <v>0</v>
      </c>
      <c r="E872" s="15">
        <f>'Expense Tracker Data'!V870</f>
        <v>0</v>
      </c>
      <c r="F872" s="15">
        <f t="shared" si="28"/>
        <v>0</v>
      </c>
      <c r="G872" s="15" t="str">
        <f>IF(AND(D872&gt;0,E872&gt;0),G871+Bottom_Line_Table[[#This Row],[Difference]],"N/A")</f>
        <v>N/A</v>
      </c>
    </row>
    <row r="873" spans="2:7" x14ac:dyDescent="0.3">
      <c r="B873" s="12">
        <v>69884</v>
      </c>
      <c r="C873" s="13">
        <f t="shared" si="29"/>
        <v>69914</v>
      </c>
      <c r="D873" s="14">
        <f>'Income Tracker Data'!V871</f>
        <v>0</v>
      </c>
      <c r="E873" s="15">
        <f>'Expense Tracker Data'!V871</f>
        <v>0</v>
      </c>
      <c r="F873" s="15">
        <f t="shared" si="28"/>
        <v>0</v>
      </c>
      <c r="G873" s="15" t="str">
        <f>IF(AND(D873&gt;0,E873&gt;0),G872+Bottom_Line_Table[[#This Row],[Difference]],"N/A")</f>
        <v>N/A</v>
      </c>
    </row>
    <row r="874" spans="2:7" x14ac:dyDescent="0.3">
      <c r="B874" s="12">
        <v>69915</v>
      </c>
      <c r="C874" s="13">
        <f t="shared" si="29"/>
        <v>69944</v>
      </c>
      <c r="D874" s="14">
        <f>'Income Tracker Data'!V872</f>
        <v>0</v>
      </c>
      <c r="E874" s="15">
        <f>'Expense Tracker Data'!V872</f>
        <v>0</v>
      </c>
      <c r="F874" s="15">
        <f t="shared" si="28"/>
        <v>0</v>
      </c>
      <c r="G874" s="15" t="str">
        <f>IF(AND(D874&gt;0,E874&gt;0),G873+Bottom_Line_Table[[#This Row],[Difference]],"N/A")</f>
        <v>N/A</v>
      </c>
    </row>
    <row r="875" spans="2:7" x14ac:dyDescent="0.3">
      <c r="B875" s="12">
        <v>69945</v>
      </c>
      <c r="C875" s="13">
        <f t="shared" si="29"/>
        <v>69975</v>
      </c>
      <c r="D875" s="14">
        <f>'Income Tracker Data'!V873</f>
        <v>0</v>
      </c>
      <c r="E875" s="15">
        <f>'Expense Tracker Data'!V873</f>
        <v>0</v>
      </c>
      <c r="F875" s="15">
        <f t="shared" si="28"/>
        <v>0</v>
      </c>
      <c r="G875" s="15" t="str">
        <f>IF(AND(D875&gt;0,E875&gt;0),G874+Bottom_Line_Table[[#This Row],[Difference]],"N/A")</f>
        <v>N/A</v>
      </c>
    </row>
    <row r="876" spans="2:7" x14ac:dyDescent="0.3">
      <c r="B876" s="12">
        <v>69976</v>
      </c>
      <c r="C876" s="13">
        <f t="shared" si="29"/>
        <v>70006</v>
      </c>
      <c r="D876" s="14">
        <f>'Income Tracker Data'!V874</f>
        <v>0</v>
      </c>
      <c r="E876" s="15">
        <f>'Expense Tracker Data'!V874</f>
        <v>0</v>
      </c>
      <c r="F876" s="15">
        <f t="shared" si="28"/>
        <v>0</v>
      </c>
      <c r="G876" s="15" t="str">
        <f>IF(AND(D876&gt;0,E876&gt;0),G875+Bottom_Line_Table[[#This Row],[Difference]],"N/A")</f>
        <v>N/A</v>
      </c>
    </row>
    <row r="877" spans="2:7" x14ac:dyDescent="0.3">
      <c r="B877" s="12">
        <v>70007</v>
      </c>
      <c r="C877" s="13">
        <f t="shared" si="29"/>
        <v>70036</v>
      </c>
      <c r="D877" s="14">
        <f>'Income Tracker Data'!V875</f>
        <v>0</v>
      </c>
      <c r="E877" s="15">
        <f>'Expense Tracker Data'!V875</f>
        <v>0</v>
      </c>
      <c r="F877" s="15">
        <f t="shared" si="28"/>
        <v>0</v>
      </c>
      <c r="G877" s="15" t="str">
        <f>IF(AND(D877&gt;0,E877&gt;0),G876+Bottom_Line_Table[[#This Row],[Difference]],"N/A")</f>
        <v>N/A</v>
      </c>
    </row>
    <row r="878" spans="2:7" x14ac:dyDescent="0.3">
      <c r="B878" s="12">
        <v>70037</v>
      </c>
      <c r="C878" s="13">
        <f t="shared" si="29"/>
        <v>70067</v>
      </c>
      <c r="D878" s="14">
        <f>'Income Tracker Data'!V876</f>
        <v>0</v>
      </c>
      <c r="E878" s="15">
        <f>'Expense Tracker Data'!V876</f>
        <v>0</v>
      </c>
      <c r="F878" s="15">
        <f t="shared" si="28"/>
        <v>0</v>
      </c>
      <c r="G878" s="15" t="str">
        <f>IF(AND(D878&gt;0,E878&gt;0),G877+Bottom_Line_Table[[#This Row],[Difference]],"N/A")</f>
        <v>N/A</v>
      </c>
    </row>
    <row r="879" spans="2:7" x14ac:dyDescent="0.3">
      <c r="B879" s="12">
        <v>70068</v>
      </c>
      <c r="C879" s="13">
        <f t="shared" si="29"/>
        <v>70097</v>
      </c>
      <c r="D879" s="14">
        <f>'Income Tracker Data'!V877</f>
        <v>0</v>
      </c>
      <c r="E879" s="15">
        <f>'Expense Tracker Data'!V877</f>
        <v>0</v>
      </c>
      <c r="F879" s="15">
        <f t="shared" si="28"/>
        <v>0</v>
      </c>
      <c r="G879" s="15" t="str">
        <f>IF(AND(D879&gt;0,E879&gt;0),G878+Bottom_Line_Table[[#This Row],[Difference]],"N/A")</f>
        <v>N/A</v>
      </c>
    </row>
    <row r="880" spans="2:7" x14ac:dyDescent="0.3">
      <c r="B880" s="12">
        <v>70098</v>
      </c>
      <c r="C880" s="13">
        <f t="shared" si="29"/>
        <v>70128</v>
      </c>
      <c r="D880" s="14">
        <f>'Income Tracker Data'!V878</f>
        <v>0</v>
      </c>
      <c r="E880" s="15">
        <f>'Expense Tracker Data'!V878</f>
        <v>0</v>
      </c>
      <c r="F880" s="15">
        <f t="shared" si="28"/>
        <v>0</v>
      </c>
      <c r="G880" s="15" t="str">
        <f>IF(AND(D880&gt;0,E880&gt;0),G879+Bottom_Line_Table[[#This Row],[Difference]],"N/A")</f>
        <v>N/A</v>
      </c>
    </row>
    <row r="881" spans="2:7" x14ac:dyDescent="0.3">
      <c r="B881" s="12">
        <v>70129</v>
      </c>
      <c r="C881" s="13">
        <f t="shared" si="29"/>
        <v>70159</v>
      </c>
      <c r="D881" s="14">
        <f>'Income Tracker Data'!V879</f>
        <v>0</v>
      </c>
      <c r="E881" s="15">
        <f>'Expense Tracker Data'!V879</f>
        <v>0</v>
      </c>
      <c r="F881" s="15">
        <f t="shared" si="28"/>
        <v>0</v>
      </c>
      <c r="G881" s="15" t="str">
        <f>IF(AND(D881&gt;0,E881&gt;0),G880+Bottom_Line_Table[[#This Row],[Difference]],"N/A")</f>
        <v>N/A</v>
      </c>
    </row>
    <row r="882" spans="2:7" x14ac:dyDescent="0.3">
      <c r="B882" s="12">
        <v>70160</v>
      </c>
      <c r="C882" s="13">
        <f t="shared" si="29"/>
        <v>70188</v>
      </c>
      <c r="D882" s="14">
        <f>'Income Tracker Data'!V880</f>
        <v>0</v>
      </c>
      <c r="E882" s="15">
        <f>'Expense Tracker Data'!V880</f>
        <v>0</v>
      </c>
      <c r="F882" s="15">
        <f t="shared" si="28"/>
        <v>0</v>
      </c>
      <c r="G882" s="15" t="str">
        <f>IF(AND(D882&gt;0,E882&gt;0),G881+Bottom_Line_Table[[#This Row],[Difference]],"N/A")</f>
        <v>N/A</v>
      </c>
    </row>
    <row r="883" spans="2:7" x14ac:dyDescent="0.3">
      <c r="B883" s="12">
        <v>70189</v>
      </c>
      <c r="C883" s="13">
        <f t="shared" si="29"/>
        <v>70219</v>
      </c>
      <c r="D883" s="14">
        <f>'Income Tracker Data'!V881</f>
        <v>0</v>
      </c>
      <c r="E883" s="15">
        <f>'Expense Tracker Data'!V881</f>
        <v>0</v>
      </c>
      <c r="F883" s="15">
        <f t="shared" si="28"/>
        <v>0</v>
      </c>
      <c r="G883" s="15" t="str">
        <f>IF(AND(D883&gt;0,E883&gt;0),G882+Bottom_Line_Table[[#This Row],[Difference]],"N/A")</f>
        <v>N/A</v>
      </c>
    </row>
    <row r="884" spans="2:7" x14ac:dyDescent="0.3">
      <c r="B884" s="12">
        <v>70220</v>
      </c>
      <c r="C884" s="13">
        <f t="shared" si="29"/>
        <v>70249</v>
      </c>
      <c r="D884" s="14">
        <f>'Income Tracker Data'!V882</f>
        <v>0</v>
      </c>
      <c r="E884" s="15">
        <f>'Expense Tracker Data'!V882</f>
        <v>0</v>
      </c>
      <c r="F884" s="15">
        <f t="shared" si="28"/>
        <v>0</v>
      </c>
      <c r="G884" s="15" t="str">
        <f>IF(AND(D884&gt;0,E884&gt;0),G883+Bottom_Line_Table[[#This Row],[Difference]],"N/A")</f>
        <v>N/A</v>
      </c>
    </row>
    <row r="885" spans="2:7" x14ac:dyDescent="0.3">
      <c r="B885" s="12">
        <v>70250</v>
      </c>
      <c r="C885" s="13">
        <f t="shared" si="29"/>
        <v>70280</v>
      </c>
      <c r="D885" s="14">
        <f>'Income Tracker Data'!V883</f>
        <v>0</v>
      </c>
      <c r="E885" s="15">
        <f>'Expense Tracker Data'!V883</f>
        <v>0</v>
      </c>
      <c r="F885" s="15">
        <f t="shared" si="28"/>
        <v>0</v>
      </c>
      <c r="G885" s="15" t="str">
        <f>IF(AND(D885&gt;0,E885&gt;0),G884+Bottom_Line_Table[[#This Row],[Difference]],"N/A")</f>
        <v>N/A</v>
      </c>
    </row>
    <row r="886" spans="2:7" x14ac:dyDescent="0.3">
      <c r="B886" s="12">
        <v>70281</v>
      </c>
      <c r="C886" s="13">
        <f t="shared" si="29"/>
        <v>70310</v>
      </c>
      <c r="D886" s="14">
        <f>'Income Tracker Data'!V884</f>
        <v>0</v>
      </c>
      <c r="E886" s="15">
        <f>'Expense Tracker Data'!V884</f>
        <v>0</v>
      </c>
      <c r="F886" s="15">
        <f t="shared" si="28"/>
        <v>0</v>
      </c>
      <c r="G886" s="15" t="str">
        <f>IF(AND(D886&gt;0,E886&gt;0),G885+Bottom_Line_Table[[#This Row],[Difference]],"N/A")</f>
        <v>N/A</v>
      </c>
    </row>
    <row r="887" spans="2:7" x14ac:dyDescent="0.3">
      <c r="B887" s="12">
        <v>70311</v>
      </c>
      <c r="C887" s="13">
        <f t="shared" si="29"/>
        <v>70341</v>
      </c>
      <c r="D887" s="14">
        <f>'Income Tracker Data'!V885</f>
        <v>0</v>
      </c>
      <c r="E887" s="15">
        <f>'Expense Tracker Data'!V885</f>
        <v>0</v>
      </c>
      <c r="F887" s="15">
        <f t="shared" si="28"/>
        <v>0</v>
      </c>
      <c r="G887" s="15" t="str">
        <f>IF(AND(D887&gt;0,E887&gt;0),G886+Bottom_Line_Table[[#This Row],[Difference]],"N/A")</f>
        <v>N/A</v>
      </c>
    </row>
    <row r="888" spans="2:7" x14ac:dyDescent="0.3">
      <c r="B888" s="12">
        <v>70342</v>
      </c>
      <c r="C888" s="13">
        <f t="shared" si="29"/>
        <v>70372</v>
      </c>
      <c r="D888" s="14">
        <f>'Income Tracker Data'!V886</f>
        <v>0</v>
      </c>
      <c r="E888" s="15">
        <f>'Expense Tracker Data'!V886</f>
        <v>0</v>
      </c>
      <c r="F888" s="15">
        <f t="shared" si="28"/>
        <v>0</v>
      </c>
      <c r="G888" s="15" t="str">
        <f>IF(AND(D888&gt;0,E888&gt;0),G887+Bottom_Line_Table[[#This Row],[Difference]],"N/A")</f>
        <v>N/A</v>
      </c>
    </row>
    <row r="889" spans="2:7" x14ac:dyDescent="0.3">
      <c r="B889" s="12">
        <v>70373</v>
      </c>
      <c r="C889" s="13">
        <f t="shared" si="29"/>
        <v>70402</v>
      </c>
      <c r="D889" s="14">
        <f>'Income Tracker Data'!V887</f>
        <v>0</v>
      </c>
      <c r="E889" s="15">
        <f>'Expense Tracker Data'!V887</f>
        <v>0</v>
      </c>
      <c r="F889" s="15">
        <f t="shared" si="28"/>
        <v>0</v>
      </c>
      <c r="G889" s="15" t="str">
        <f>IF(AND(D889&gt;0,E889&gt;0),G888+Bottom_Line_Table[[#This Row],[Difference]],"N/A")</f>
        <v>N/A</v>
      </c>
    </row>
    <row r="890" spans="2:7" x14ac:dyDescent="0.3">
      <c r="B890" s="12">
        <v>70403</v>
      </c>
      <c r="C890" s="13">
        <f t="shared" si="29"/>
        <v>70433</v>
      </c>
      <c r="D890" s="14">
        <f>'Income Tracker Data'!V888</f>
        <v>0</v>
      </c>
      <c r="E890" s="15">
        <f>'Expense Tracker Data'!V888</f>
        <v>0</v>
      </c>
      <c r="F890" s="15">
        <f t="shared" si="28"/>
        <v>0</v>
      </c>
      <c r="G890" s="15" t="str">
        <f>IF(AND(D890&gt;0,E890&gt;0),G889+Bottom_Line_Table[[#This Row],[Difference]],"N/A")</f>
        <v>N/A</v>
      </c>
    </row>
    <row r="891" spans="2:7" x14ac:dyDescent="0.3">
      <c r="B891" s="12">
        <v>70434</v>
      </c>
      <c r="C891" s="13">
        <f t="shared" si="29"/>
        <v>70463</v>
      </c>
      <c r="D891" s="14">
        <f>'Income Tracker Data'!V889</f>
        <v>0</v>
      </c>
      <c r="E891" s="15">
        <f>'Expense Tracker Data'!V889</f>
        <v>0</v>
      </c>
      <c r="F891" s="15">
        <f t="shared" si="28"/>
        <v>0</v>
      </c>
      <c r="G891" s="15" t="str">
        <f>IF(AND(D891&gt;0,E891&gt;0),G890+Bottom_Line_Table[[#This Row],[Difference]],"N/A")</f>
        <v>N/A</v>
      </c>
    </row>
    <row r="892" spans="2:7" x14ac:dyDescent="0.3">
      <c r="B892" s="12">
        <v>70464</v>
      </c>
      <c r="C892" s="13">
        <f t="shared" si="29"/>
        <v>70494</v>
      </c>
      <c r="D892" s="14">
        <f>'Income Tracker Data'!V890</f>
        <v>0</v>
      </c>
      <c r="E892" s="15">
        <f>'Expense Tracker Data'!V890</f>
        <v>0</v>
      </c>
      <c r="F892" s="15">
        <f t="shared" si="28"/>
        <v>0</v>
      </c>
      <c r="G892" s="15" t="str">
        <f>IF(AND(D892&gt;0,E892&gt;0),G891+Bottom_Line_Table[[#This Row],[Difference]],"N/A")</f>
        <v>N/A</v>
      </c>
    </row>
    <row r="893" spans="2:7" x14ac:dyDescent="0.3">
      <c r="B893" s="12">
        <v>70495</v>
      </c>
      <c r="C893" s="13">
        <f t="shared" si="29"/>
        <v>70525</v>
      </c>
      <c r="D893" s="14">
        <f>'Income Tracker Data'!V891</f>
        <v>0</v>
      </c>
      <c r="E893" s="15">
        <f>'Expense Tracker Data'!V891</f>
        <v>0</v>
      </c>
      <c r="F893" s="15">
        <f t="shared" si="28"/>
        <v>0</v>
      </c>
      <c r="G893" s="15" t="str">
        <f>IF(AND(D893&gt;0,E893&gt;0),G892+Bottom_Line_Table[[#This Row],[Difference]],"N/A")</f>
        <v>N/A</v>
      </c>
    </row>
    <row r="894" spans="2:7" x14ac:dyDescent="0.3">
      <c r="B894" s="12">
        <v>70526</v>
      </c>
      <c r="C894" s="13">
        <f t="shared" si="29"/>
        <v>70553</v>
      </c>
      <c r="D894" s="14">
        <f>'Income Tracker Data'!V892</f>
        <v>0</v>
      </c>
      <c r="E894" s="15">
        <f>'Expense Tracker Data'!V892</f>
        <v>0</v>
      </c>
      <c r="F894" s="15">
        <f t="shared" si="28"/>
        <v>0</v>
      </c>
      <c r="G894" s="15" t="str">
        <f>IF(AND(D894&gt;0,E894&gt;0),G893+Bottom_Line_Table[[#This Row],[Difference]],"N/A")</f>
        <v>N/A</v>
      </c>
    </row>
    <row r="895" spans="2:7" x14ac:dyDescent="0.3">
      <c r="B895" s="12">
        <v>70554</v>
      </c>
      <c r="C895" s="13">
        <f t="shared" si="29"/>
        <v>70584</v>
      </c>
      <c r="D895" s="14">
        <f>'Income Tracker Data'!V893</f>
        <v>0</v>
      </c>
      <c r="E895" s="15">
        <f>'Expense Tracker Data'!V893</f>
        <v>0</v>
      </c>
      <c r="F895" s="15">
        <f t="shared" si="28"/>
        <v>0</v>
      </c>
      <c r="G895" s="15" t="str">
        <f>IF(AND(D895&gt;0,E895&gt;0),G894+Bottom_Line_Table[[#This Row],[Difference]],"N/A")</f>
        <v>N/A</v>
      </c>
    </row>
    <row r="896" spans="2:7" x14ac:dyDescent="0.3">
      <c r="B896" s="12">
        <v>70585</v>
      </c>
      <c r="C896" s="13">
        <f t="shared" si="29"/>
        <v>70614</v>
      </c>
      <c r="D896" s="14">
        <f>'Income Tracker Data'!V894</f>
        <v>0</v>
      </c>
      <c r="E896" s="15">
        <f>'Expense Tracker Data'!V894</f>
        <v>0</v>
      </c>
      <c r="F896" s="15">
        <f t="shared" si="28"/>
        <v>0</v>
      </c>
      <c r="G896" s="15" t="str">
        <f>IF(AND(D896&gt;0,E896&gt;0),G895+Bottom_Line_Table[[#This Row],[Difference]],"N/A")</f>
        <v>N/A</v>
      </c>
    </row>
    <row r="897" spans="2:7" x14ac:dyDescent="0.3">
      <c r="B897" s="12">
        <v>70615</v>
      </c>
      <c r="C897" s="13">
        <f t="shared" si="29"/>
        <v>70645</v>
      </c>
      <c r="D897" s="14">
        <f>'Income Tracker Data'!V895</f>
        <v>0</v>
      </c>
      <c r="E897" s="15">
        <f>'Expense Tracker Data'!V895</f>
        <v>0</v>
      </c>
      <c r="F897" s="15">
        <f t="shared" si="28"/>
        <v>0</v>
      </c>
      <c r="G897" s="15" t="str">
        <f>IF(AND(D897&gt;0,E897&gt;0),G896+Bottom_Line_Table[[#This Row],[Difference]],"N/A")</f>
        <v>N/A</v>
      </c>
    </row>
    <row r="898" spans="2:7" x14ac:dyDescent="0.3">
      <c r="B898" s="12">
        <v>70646</v>
      </c>
      <c r="C898" s="13">
        <f t="shared" si="29"/>
        <v>70675</v>
      </c>
      <c r="D898" s="14">
        <f>'Income Tracker Data'!V896</f>
        <v>0</v>
      </c>
      <c r="E898" s="15">
        <f>'Expense Tracker Data'!V896</f>
        <v>0</v>
      </c>
      <c r="F898" s="15">
        <f t="shared" si="28"/>
        <v>0</v>
      </c>
      <c r="G898" s="15" t="str">
        <f>IF(AND(D898&gt;0,E898&gt;0),G897+Bottom_Line_Table[[#This Row],[Difference]],"N/A")</f>
        <v>N/A</v>
      </c>
    </row>
    <row r="899" spans="2:7" x14ac:dyDescent="0.3">
      <c r="B899" s="12">
        <v>70676</v>
      </c>
      <c r="C899" s="13">
        <f t="shared" si="29"/>
        <v>70706</v>
      </c>
      <c r="D899" s="14">
        <f>'Income Tracker Data'!V897</f>
        <v>0</v>
      </c>
      <c r="E899" s="15">
        <f>'Expense Tracker Data'!V897</f>
        <v>0</v>
      </c>
      <c r="F899" s="15">
        <f t="shared" si="28"/>
        <v>0</v>
      </c>
      <c r="G899" s="15" t="str">
        <f>IF(AND(D899&gt;0,E899&gt;0),G898+Bottom_Line_Table[[#This Row],[Difference]],"N/A")</f>
        <v>N/A</v>
      </c>
    </row>
    <row r="900" spans="2:7" x14ac:dyDescent="0.3">
      <c r="B900" s="12">
        <v>70707</v>
      </c>
      <c r="C900" s="13">
        <f t="shared" si="29"/>
        <v>70737</v>
      </c>
      <c r="D900" s="14">
        <f>'Income Tracker Data'!V898</f>
        <v>0</v>
      </c>
      <c r="E900" s="15">
        <f>'Expense Tracker Data'!V898</f>
        <v>0</v>
      </c>
      <c r="F900" s="15">
        <f t="shared" si="28"/>
        <v>0</v>
      </c>
      <c r="G900" s="15" t="str">
        <f>IF(AND(D900&gt;0,E900&gt;0),G899+Bottom_Line_Table[[#This Row],[Difference]],"N/A")</f>
        <v>N/A</v>
      </c>
    </row>
    <row r="901" spans="2:7" x14ac:dyDescent="0.3">
      <c r="B901" s="12">
        <v>70738</v>
      </c>
      <c r="C901" s="13">
        <f t="shared" si="29"/>
        <v>70767</v>
      </c>
      <c r="D901" s="14">
        <f>'Income Tracker Data'!V899</f>
        <v>0</v>
      </c>
      <c r="E901" s="15">
        <f>'Expense Tracker Data'!V899</f>
        <v>0</v>
      </c>
      <c r="F901" s="15">
        <f t="shared" si="28"/>
        <v>0</v>
      </c>
      <c r="G901" s="15" t="str">
        <f>IF(AND(D901&gt;0,E901&gt;0),G900+Bottom_Line_Table[[#This Row],[Difference]],"N/A")</f>
        <v>N/A</v>
      </c>
    </row>
    <row r="902" spans="2:7" x14ac:dyDescent="0.3">
      <c r="B902" s="12">
        <v>70768</v>
      </c>
      <c r="C902" s="13">
        <f t="shared" si="29"/>
        <v>70798</v>
      </c>
      <c r="D902" s="14">
        <f>'Income Tracker Data'!V900</f>
        <v>0</v>
      </c>
      <c r="E902" s="15">
        <f>'Expense Tracker Data'!V900</f>
        <v>0</v>
      </c>
      <c r="F902" s="15">
        <f t="shared" ref="F902:F965" si="30">D902-E902</f>
        <v>0</v>
      </c>
      <c r="G902" s="15" t="str">
        <f>IF(AND(D902&gt;0,E902&gt;0),G901+Bottom_Line_Table[[#This Row],[Difference]],"N/A")</f>
        <v>N/A</v>
      </c>
    </row>
    <row r="903" spans="2:7" x14ac:dyDescent="0.3">
      <c r="B903" s="12">
        <v>70799</v>
      </c>
      <c r="C903" s="13">
        <f t="shared" si="29"/>
        <v>70828</v>
      </c>
      <c r="D903" s="14">
        <f>'Income Tracker Data'!V901</f>
        <v>0</v>
      </c>
      <c r="E903" s="15">
        <f>'Expense Tracker Data'!V901</f>
        <v>0</v>
      </c>
      <c r="F903" s="15">
        <f t="shared" si="30"/>
        <v>0</v>
      </c>
      <c r="G903" s="15" t="str">
        <f>IF(AND(D903&gt;0,E903&gt;0),G902+Bottom_Line_Table[[#This Row],[Difference]],"N/A")</f>
        <v>N/A</v>
      </c>
    </row>
    <row r="904" spans="2:7" x14ac:dyDescent="0.3">
      <c r="B904" s="12">
        <v>70829</v>
      </c>
      <c r="C904" s="13">
        <f t="shared" si="29"/>
        <v>70859</v>
      </c>
      <c r="D904" s="14">
        <f>'Income Tracker Data'!V902</f>
        <v>0</v>
      </c>
      <c r="E904" s="15">
        <f>'Expense Tracker Data'!V902</f>
        <v>0</v>
      </c>
      <c r="F904" s="15">
        <f t="shared" si="30"/>
        <v>0</v>
      </c>
      <c r="G904" s="15" t="str">
        <f>IF(AND(D904&gt;0,E904&gt;0),G903+Bottom_Line_Table[[#This Row],[Difference]],"N/A")</f>
        <v>N/A</v>
      </c>
    </row>
    <row r="905" spans="2:7" x14ac:dyDescent="0.3">
      <c r="B905" s="12">
        <v>70860</v>
      </c>
      <c r="C905" s="13">
        <f t="shared" si="29"/>
        <v>70890</v>
      </c>
      <c r="D905" s="14">
        <f>'Income Tracker Data'!V903</f>
        <v>0</v>
      </c>
      <c r="E905" s="15">
        <f>'Expense Tracker Data'!V903</f>
        <v>0</v>
      </c>
      <c r="F905" s="15">
        <f t="shared" si="30"/>
        <v>0</v>
      </c>
      <c r="G905" s="15" t="str">
        <f>IF(AND(D905&gt;0,E905&gt;0),G904+Bottom_Line_Table[[#This Row],[Difference]],"N/A")</f>
        <v>N/A</v>
      </c>
    </row>
    <row r="906" spans="2:7" x14ac:dyDescent="0.3">
      <c r="B906" s="12">
        <v>70891</v>
      </c>
      <c r="C906" s="13">
        <f t="shared" si="29"/>
        <v>70918</v>
      </c>
      <c r="D906" s="14">
        <f>'Income Tracker Data'!V904</f>
        <v>0</v>
      </c>
      <c r="E906" s="15">
        <f>'Expense Tracker Data'!V904</f>
        <v>0</v>
      </c>
      <c r="F906" s="15">
        <f t="shared" si="30"/>
        <v>0</v>
      </c>
      <c r="G906" s="15" t="str">
        <f>IF(AND(D906&gt;0,E906&gt;0),G905+Bottom_Line_Table[[#This Row],[Difference]],"N/A")</f>
        <v>N/A</v>
      </c>
    </row>
    <row r="907" spans="2:7" x14ac:dyDescent="0.3">
      <c r="B907" s="12">
        <v>70919</v>
      </c>
      <c r="C907" s="13">
        <f t="shared" ref="C907:C970" si="31">EOMONTH(B907,0)</f>
        <v>70949</v>
      </c>
      <c r="D907" s="14">
        <f>'Income Tracker Data'!V905</f>
        <v>0</v>
      </c>
      <c r="E907" s="15">
        <f>'Expense Tracker Data'!V905</f>
        <v>0</v>
      </c>
      <c r="F907" s="15">
        <f t="shared" si="30"/>
        <v>0</v>
      </c>
      <c r="G907" s="15" t="str">
        <f>IF(AND(D907&gt;0,E907&gt;0),G906+Bottom_Line_Table[[#This Row],[Difference]],"N/A")</f>
        <v>N/A</v>
      </c>
    </row>
    <row r="908" spans="2:7" x14ac:dyDescent="0.3">
      <c r="B908" s="12">
        <v>70950</v>
      </c>
      <c r="C908" s="13">
        <f t="shared" si="31"/>
        <v>70979</v>
      </c>
      <c r="D908" s="14">
        <f>'Income Tracker Data'!V906</f>
        <v>0</v>
      </c>
      <c r="E908" s="15">
        <f>'Expense Tracker Data'!V906</f>
        <v>0</v>
      </c>
      <c r="F908" s="15">
        <f t="shared" si="30"/>
        <v>0</v>
      </c>
      <c r="G908" s="15" t="str">
        <f>IF(AND(D908&gt;0,E908&gt;0),G907+Bottom_Line_Table[[#This Row],[Difference]],"N/A")</f>
        <v>N/A</v>
      </c>
    </row>
    <row r="909" spans="2:7" x14ac:dyDescent="0.3">
      <c r="B909" s="12">
        <v>70980</v>
      </c>
      <c r="C909" s="13">
        <f t="shared" si="31"/>
        <v>71010</v>
      </c>
      <c r="D909" s="14">
        <f>'Income Tracker Data'!V907</f>
        <v>0</v>
      </c>
      <c r="E909" s="15">
        <f>'Expense Tracker Data'!V907</f>
        <v>0</v>
      </c>
      <c r="F909" s="15">
        <f t="shared" si="30"/>
        <v>0</v>
      </c>
      <c r="G909" s="15" t="str">
        <f>IF(AND(D909&gt;0,E909&gt;0),G908+Bottom_Line_Table[[#This Row],[Difference]],"N/A")</f>
        <v>N/A</v>
      </c>
    </row>
    <row r="910" spans="2:7" x14ac:dyDescent="0.3">
      <c r="B910" s="12">
        <v>71011</v>
      </c>
      <c r="C910" s="13">
        <f t="shared" si="31"/>
        <v>71040</v>
      </c>
      <c r="D910" s="14">
        <f>'Income Tracker Data'!V908</f>
        <v>0</v>
      </c>
      <c r="E910" s="15">
        <f>'Expense Tracker Data'!V908</f>
        <v>0</v>
      </c>
      <c r="F910" s="15">
        <f t="shared" si="30"/>
        <v>0</v>
      </c>
      <c r="G910" s="15" t="str">
        <f>IF(AND(D910&gt;0,E910&gt;0),G909+Bottom_Line_Table[[#This Row],[Difference]],"N/A")</f>
        <v>N/A</v>
      </c>
    </row>
    <row r="911" spans="2:7" x14ac:dyDescent="0.3">
      <c r="B911" s="12">
        <v>71041</v>
      </c>
      <c r="C911" s="13">
        <f t="shared" si="31"/>
        <v>71071</v>
      </c>
      <c r="D911" s="14">
        <f>'Income Tracker Data'!V909</f>
        <v>0</v>
      </c>
      <c r="E911" s="15">
        <f>'Expense Tracker Data'!V909</f>
        <v>0</v>
      </c>
      <c r="F911" s="15">
        <f t="shared" si="30"/>
        <v>0</v>
      </c>
      <c r="G911" s="15" t="str">
        <f>IF(AND(D911&gt;0,E911&gt;0),G910+Bottom_Line_Table[[#This Row],[Difference]],"N/A")</f>
        <v>N/A</v>
      </c>
    </row>
    <row r="912" spans="2:7" x14ac:dyDescent="0.3">
      <c r="B912" s="12">
        <v>71072</v>
      </c>
      <c r="C912" s="13">
        <f t="shared" si="31"/>
        <v>71102</v>
      </c>
      <c r="D912" s="14">
        <f>'Income Tracker Data'!V910</f>
        <v>0</v>
      </c>
      <c r="E912" s="15">
        <f>'Expense Tracker Data'!V910</f>
        <v>0</v>
      </c>
      <c r="F912" s="15">
        <f t="shared" si="30"/>
        <v>0</v>
      </c>
      <c r="G912" s="15" t="str">
        <f>IF(AND(D912&gt;0,E912&gt;0),G911+Bottom_Line_Table[[#This Row],[Difference]],"N/A")</f>
        <v>N/A</v>
      </c>
    </row>
    <row r="913" spans="2:7" x14ac:dyDescent="0.3">
      <c r="B913" s="12">
        <v>71103</v>
      </c>
      <c r="C913" s="13">
        <f t="shared" si="31"/>
        <v>71132</v>
      </c>
      <c r="D913" s="14">
        <f>'Income Tracker Data'!V911</f>
        <v>0</v>
      </c>
      <c r="E913" s="15">
        <f>'Expense Tracker Data'!V911</f>
        <v>0</v>
      </c>
      <c r="F913" s="15">
        <f t="shared" si="30"/>
        <v>0</v>
      </c>
      <c r="G913" s="15" t="str">
        <f>IF(AND(D913&gt;0,E913&gt;0),G912+Bottom_Line_Table[[#This Row],[Difference]],"N/A")</f>
        <v>N/A</v>
      </c>
    </row>
    <row r="914" spans="2:7" x14ac:dyDescent="0.3">
      <c r="B914" s="12">
        <v>71133</v>
      </c>
      <c r="C914" s="13">
        <f t="shared" si="31"/>
        <v>71163</v>
      </c>
      <c r="D914" s="14">
        <f>'Income Tracker Data'!V912</f>
        <v>0</v>
      </c>
      <c r="E914" s="15">
        <f>'Expense Tracker Data'!V912</f>
        <v>0</v>
      </c>
      <c r="F914" s="15">
        <f t="shared" si="30"/>
        <v>0</v>
      </c>
      <c r="G914" s="15" t="str">
        <f>IF(AND(D914&gt;0,E914&gt;0),G913+Bottom_Line_Table[[#This Row],[Difference]],"N/A")</f>
        <v>N/A</v>
      </c>
    </row>
    <row r="915" spans="2:7" x14ac:dyDescent="0.3">
      <c r="B915" s="12">
        <v>71164</v>
      </c>
      <c r="C915" s="13">
        <f t="shared" si="31"/>
        <v>71193</v>
      </c>
      <c r="D915" s="14">
        <f>'Income Tracker Data'!V913</f>
        <v>0</v>
      </c>
      <c r="E915" s="15">
        <f>'Expense Tracker Data'!V913</f>
        <v>0</v>
      </c>
      <c r="F915" s="15">
        <f t="shared" si="30"/>
        <v>0</v>
      </c>
      <c r="G915" s="15" t="str">
        <f>IF(AND(D915&gt;0,E915&gt;0),G914+Bottom_Line_Table[[#This Row],[Difference]],"N/A")</f>
        <v>N/A</v>
      </c>
    </row>
    <row r="916" spans="2:7" x14ac:dyDescent="0.3">
      <c r="B916" s="12">
        <v>71194</v>
      </c>
      <c r="C916" s="13">
        <f t="shared" si="31"/>
        <v>71224</v>
      </c>
      <c r="D916" s="14">
        <f>'Income Tracker Data'!V914</f>
        <v>0</v>
      </c>
      <c r="E916" s="15">
        <f>'Expense Tracker Data'!V914</f>
        <v>0</v>
      </c>
      <c r="F916" s="15">
        <f t="shared" si="30"/>
        <v>0</v>
      </c>
      <c r="G916" s="15" t="str">
        <f>IF(AND(D916&gt;0,E916&gt;0),G915+Bottom_Line_Table[[#This Row],[Difference]],"N/A")</f>
        <v>N/A</v>
      </c>
    </row>
    <row r="917" spans="2:7" x14ac:dyDescent="0.3">
      <c r="B917" s="12">
        <v>71225</v>
      </c>
      <c r="C917" s="13">
        <f t="shared" si="31"/>
        <v>71255</v>
      </c>
      <c r="D917" s="14">
        <f>'Income Tracker Data'!V915</f>
        <v>0</v>
      </c>
      <c r="E917" s="15">
        <f>'Expense Tracker Data'!V915</f>
        <v>0</v>
      </c>
      <c r="F917" s="15">
        <f t="shared" si="30"/>
        <v>0</v>
      </c>
      <c r="G917" s="15" t="str">
        <f>IF(AND(D917&gt;0,E917&gt;0),G916+Bottom_Line_Table[[#This Row],[Difference]],"N/A")</f>
        <v>N/A</v>
      </c>
    </row>
    <row r="918" spans="2:7" x14ac:dyDescent="0.3">
      <c r="B918" s="12">
        <v>71256</v>
      </c>
      <c r="C918" s="13">
        <f t="shared" si="31"/>
        <v>71283</v>
      </c>
      <c r="D918" s="14">
        <f>'Income Tracker Data'!V916</f>
        <v>0</v>
      </c>
      <c r="E918" s="15">
        <f>'Expense Tracker Data'!V916</f>
        <v>0</v>
      </c>
      <c r="F918" s="15">
        <f t="shared" si="30"/>
        <v>0</v>
      </c>
      <c r="G918" s="15" t="str">
        <f>IF(AND(D918&gt;0,E918&gt;0),G917+Bottom_Line_Table[[#This Row],[Difference]],"N/A")</f>
        <v>N/A</v>
      </c>
    </row>
    <row r="919" spans="2:7" x14ac:dyDescent="0.3">
      <c r="B919" s="12">
        <v>71284</v>
      </c>
      <c r="C919" s="13">
        <f t="shared" si="31"/>
        <v>71314</v>
      </c>
      <c r="D919" s="14">
        <f>'Income Tracker Data'!V917</f>
        <v>0</v>
      </c>
      <c r="E919" s="15">
        <f>'Expense Tracker Data'!V917</f>
        <v>0</v>
      </c>
      <c r="F919" s="15">
        <f t="shared" si="30"/>
        <v>0</v>
      </c>
      <c r="G919" s="15" t="str">
        <f>IF(AND(D919&gt;0,E919&gt;0),G918+Bottom_Line_Table[[#This Row],[Difference]],"N/A")</f>
        <v>N/A</v>
      </c>
    </row>
    <row r="920" spans="2:7" x14ac:dyDescent="0.3">
      <c r="B920" s="12">
        <v>71315</v>
      </c>
      <c r="C920" s="13">
        <f t="shared" si="31"/>
        <v>71344</v>
      </c>
      <c r="D920" s="14">
        <f>'Income Tracker Data'!V918</f>
        <v>0</v>
      </c>
      <c r="E920" s="15">
        <f>'Expense Tracker Data'!V918</f>
        <v>0</v>
      </c>
      <c r="F920" s="15">
        <f t="shared" si="30"/>
        <v>0</v>
      </c>
      <c r="G920" s="15" t="str">
        <f>IF(AND(D920&gt;0,E920&gt;0),G919+Bottom_Line_Table[[#This Row],[Difference]],"N/A")</f>
        <v>N/A</v>
      </c>
    </row>
    <row r="921" spans="2:7" x14ac:dyDescent="0.3">
      <c r="B921" s="12">
        <v>71345</v>
      </c>
      <c r="C921" s="13">
        <f t="shared" si="31"/>
        <v>71375</v>
      </c>
      <c r="D921" s="14">
        <f>'Income Tracker Data'!V919</f>
        <v>0</v>
      </c>
      <c r="E921" s="15">
        <f>'Expense Tracker Data'!V919</f>
        <v>0</v>
      </c>
      <c r="F921" s="15">
        <f t="shared" si="30"/>
        <v>0</v>
      </c>
      <c r="G921" s="15" t="str">
        <f>IF(AND(D921&gt;0,E921&gt;0),G920+Bottom_Line_Table[[#This Row],[Difference]],"N/A")</f>
        <v>N/A</v>
      </c>
    </row>
    <row r="922" spans="2:7" x14ac:dyDescent="0.3">
      <c r="B922" s="12">
        <v>71376</v>
      </c>
      <c r="C922" s="13">
        <f t="shared" si="31"/>
        <v>71405</v>
      </c>
      <c r="D922" s="14">
        <f>'Income Tracker Data'!V920</f>
        <v>0</v>
      </c>
      <c r="E922" s="15">
        <f>'Expense Tracker Data'!V920</f>
        <v>0</v>
      </c>
      <c r="F922" s="15">
        <f t="shared" si="30"/>
        <v>0</v>
      </c>
      <c r="G922" s="15" t="str">
        <f>IF(AND(D922&gt;0,E922&gt;0),G921+Bottom_Line_Table[[#This Row],[Difference]],"N/A")</f>
        <v>N/A</v>
      </c>
    </row>
    <row r="923" spans="2:7" x14ac:dyDescent="0.3">
      <c r="B923" s="12">
        <v>71406</v>
      </c>
      <c r="C923" s="13">
        <f t="shared" si="31"/>
        <v>71436</v>
      </c>
      <c r="D923" s="14">
        <f>'Income Tracker Data'!V921</f>
        <v>0</v>
      </c>
      <c r="E923" s="15">
        <f>'Expense Tracker Data'!V921</f>
        <v>0</v>
      </c>
      <c r="F923" s="15">
        <f t="shared" si="30"/>
        <v>0</v>
      </c>
      <c r="G923" s="15" t="str">
        <f>IF(AND(D923&gt;0,E923&gt;0),G922+Bottom_Line_Table[[#This Row],[Difference]],"N/A")</f>
        <v>N/A</v>
      </c>
    </row>
    <row r="924" spans="2:7" x14ac:dyDescent="0.3">
      <c r="B924" s="12">
        <v>71437</v>
      </c>
      <c r="C924" s="13">
        <f t="shared" si="31"/>
        <v>71467</v>
      </c>
      <c r="D924" s="14">
        <f>'Income Tracker Data'!V922</f>
        <v>0</v>
      </c>
      <c r="E924" s="15">
        <f>'Expense Tracker Data'!V922</f>
        <v>0</v>
      </c>
      <c r="F924" s="15">
        <f t="shared" si="30"/>
        <v>0</v>
      </c>
      <c r="G924" s="15" t="str">
        <f>IF(AND(D924&gt;0,E924&gt;0),G923+Bottom_Line_Table[[#This Row],[Difference]],"N/A")</f>
        <v>N/A</v>
      </c>
    </row>
    <row r="925" spans="2:7" x14ac:dyDescent="0.3">
      <c r="B925" s="12">
        <v>71468</v>
      </c>
      <c r="C925" s="13">
        <f t="shared" si="31"/>
        <v>71497</v>
      </c>
      <c r="D925" s="14">
        <f>'Income Tracker Data'!V923</f>
        <v>0</v>
      </c>
      <c r="E925" s="15">
        <f>'Expense Tracker Data'!V923</f>
        <v>0</v>
      </c>
      <c r="F925" s="15">
        <f t="shared" si="30"/>
        <v>0</v>
      </c>
      <c r="G925" s="15" t="str">
        <f>IF(AND(D925&gt;0,E925&gt;0),G924+Bottom_Line_Table[[#This Row],[Difference]],"N/A")</f>
        <v>N/A</v>
      </c>
    </row>
    <row r="926" spans="2:7" x14ac:dyDescent="0.3">
      <c r="B926" s="12">
        <v>71498</v>
      </c>
      <c r="C926" s="13">
        <f t="shared" si="31"/>
        <v>71528</v>
      </c>
      <c r="D926" s="14">
        <f>'Income Tracker Data'!V924</f>
        <v>0</v>
      </c>
      <c r="E926" s="15">
        <f>'Expense Tracker Data'!V924</f>
        <v>0</v>
      </c>
      <c r="F926" s="15">
        <f t="shared" si="30"/>
        <v>0</v>
      </c>
      <c r="G926" s="15" t="str">
        <f>IF(AND(D926&gt;0,E926&gt;0),G925+Bottom_Line_Table[[#This Row],[Difference]],"N/A")</f>
        <v>N/A</v>
      </c>
    </row>
    <row r="927" spans="2:7" x14ac:dyDescent="0.3">
      <c r="B927" s="12">
        <v>71529</v>
      </c>
      <c r="C927" s="13">
        <f t="shared" si="31"/>
        <v>71558</v>
      </c>
      <c r="D927" s="14">
        <f>'Income Tracker Data'!V925</f>
        <v>0</v>
      </c>
      <c r="E927" s="15">
        <f>'Expense Tracker Data'!V925</f>
        <v>0</v>
      </c>
      <c r="F927" s="15">
        <f t="shared" si="30"/>
        <v>0</v>
      </c>
      <c r="G927" s="15" t="str">
        <f>IF(AND(D927&gt;0,E927&gt;0),G926+Bottom_Line_Table[[#This Row],[Difference]],"N/A")</f>
        <v>N/A</v>
      </c>
    </row>
    <row r="928" spans="2:7" x14ac:dyDescent="0.3">
      <c r="B928" s="12">
        <v>71559</v>
      </c>
      <c r="C928" s="13">
        <f t="shared" si="31"/>
        <v>71589</v>
      </c>
      <c r="D928" s="14">
        <f>'Income Tracker Data'!V926</f>
        <v>0</v>
      </c>
      <c r="E928" s="15">
        <f>'Expense Tracker Data'!V926</f>
        <v>0</v>
      </c>
      <c r="F928" s="15">
        <f t="shared" si="30"/>
        <v>0</v>
      </c>
      <c r="G928" s="15" t="str">
        <f>IF(AND(D928&gt;0,E928&gt;0),G927+Bottom_Line_Table[[#This Row],[Difference]],"N/A")</f>
        <v>N/A</v>
      </c>
    </row>
    <row r="929" spans="2:7" x14ac:dyDescent="0.3">
      <c r="B929" s="12">
        <v>71590</v>
      </c>
      <c r="C929" s="13">
        <f t="shared" si="31"/>
        <v>71620</v>
      </c>
      <c r="D929" s="14">
        <f>'Income Tracker Data'!V927</f>
        <v>0</v>
      </c>
      <c r="E929" s="15">
        <f>'Expense Tracker Data'!V927</f>
        <v>0</v>
      </c>
      <c r="F929" s="15">
        <f t="shared" si="30"/>
        <v>0</v>
      </c>
      <c r="G929" s="15" t="str">
        <f>IF(AND(D929&gt;0,E929&gt;0),G928+Bottom_Line_Table[[#This Row],[Difference]],"N/A")</f>
        <v>N/A</v>
      </c>
    </row>
    <row r="930" spans="2:7" x14ac:dyDescent="0.3">
      <c r="B930" s="12">
        <v>71621</v>
      </c>
      <c r="C930" s="13">
        <f t="shared" si="31"/>
        <v>71649</v>
      </c>
      <c r="D930" s="14">
        <f>'Income Tracker Data'!V928</f>
        <v>0</v>
      </c>
      <c r="E930" s="15">
        <f>'Expense Tracker Data'!V928</f>
        <v>0</v>
      </c>
      <c r="F930" s="15">
        <f t="shared" si="30"/>
        <v>0</v>
      </c>
      <c r="G930" s="15" t="str">
        <f>IF(AND(D930&gt;0,E930&gt;0),G929+Bottom_Line_Table[[#This Row],[Difference]],"N/A")</f>
        <v>N/A</v>
      </c>
    </row>
    <row r="931" spans="2:7" x14ac:dyDescent="0.3">
      <c r="B931" s="12">
        <v>71650</v>
      </c>
      <c r="C931" s="13">
        <f t="shared" si="31"/>
        <v>71680</v>
      </c>
      <c r="D931" s="14">
        <f>'Income Tracker Data'!V929</f>
        <v>0</v>
      </c>
      <c r="E931" s="15">
        <f>'Expense Tracker Data'!V929</f>
        <v>0</v>
      </c>
      <c r="F931" s="15">
        <f t="shared" si="30"/>
        <v>0</v>
      </c>
      <c r="G931" s="15" t="str">
        <f>IF(AND(D931&gt;0,E931&gt;0),G930+Bottom_Line_Table[[#This Row],[Difference]],"N/A")</f>
        <v>N/A</v>
      </c>
    </row>
    <row r="932" spans="2:7" x14ac:dyDescent="0.3">
      <c r="B932" s="12">
        <v>71681</v>
      </c>
      <c r="C932" s="13">
        <f t="shared" si="31"/>
        <v>71710</v>
      </c>
      <c r="D932" s="14">
        <f>'Income Tracker Data'!V930</f>
        <v>0</v>
      </c>
      <c r="E932" s="15">
        <f>'Expense Tracker Data'!V930</f>
        <v>0</v>
      </c>
      <c r="F932" s="15">
        <f t="shared" si="30"/>
        <v>0</v>
      </c>
      <c r="G932" s="15" t="str">
        <f>IF(AND(D932&gt;0,E932&gt;0),G931+Bottom_Line_Table[[#This Row],[Difference]],"N/A")</f>
        <v>N/A</v>
      </c>
    </row>
    <row r="933" spans="2:7" x14ac:dyDescent="0.3">
      <c r="B933" s="12">
        <v>71711</v>
      </c>
      <c r="C933" s="13">
        <f t="shared" si="31"/>
        <v>71741</v>
      </c>
      <c r="D933" s="14">
        <f>'Income Tracker Data'!V931</f>
        <v>0</v>
      </c>
      <c r="E933" s="15">
        <f>'Expense Tracker Data'!V931</f>
        <v>0</v>
      </c>
      <c r="F933" s="15">
        <f t="shared" si="30"/>
        <v>0</v>
      </c>
      <c r="G933" s="15" t="str">
        <f>IF(AND(D933&gt;0,E933&gt;0),G932+Bottom_Line_Table[[#This Row],[Difference]],"N/A")</f>
        <v>N/A</v>
      </c>
    </row>
    <row r="934" spans="2:7" x14ac:dyDescent="0.3">
      <c r="B934" s="12">
        <v>71742</v>
      </c>
      <c r="C934" s="13">
        <f t="shared" si="31"/>
        <v>71771</v>
      </c>
      <c r="D934" s="14">
        <f>'Income Tracker Data'!V932</f>
        <v>0</v>
      </c>
      <c r="E934" s="15">
        <f>'Expense Tracker Data'!V932</f>
        <v>0</v>
      </c>
      <c r="F934" s="15">
        <f t="shared" si="30"/>
        <v>0</v>
      </c>
      <c r="G934" s="15" t="str">
        <f>IF(AND(D934&gt;0,E934&gt;0),G933+Bottom_Line_Table[[#This Row],[Difference]],"N/A")</f>
        <v>N/A</v>
      </c>
    </row>
    <row r="935" spans="2:7" x14ac:dyDescent="0.3">
      <c r="B935" s="12">
        <v>71772</v>
      </c>
      <c r="C935" s="13">
        <f t="shared" si="31"/>
        <v>71802</v>
      </c>
      <c r="D935" s="14">
        <f>'Income Tracker Data'!V933</f>
        <v>0</v>
      </c>
      <c r="E935" s="15">
        <f>'Expense Tracker Data'!V933</f>
        <v>0</v>
      </c>
      <c r="F935" s="15">
        <f t="shared" si="30"/>
        <v>0</v>
      </c>
      <c r="G935" s="15" t="str">
        <f>IF(AND(D935&gt;0,E935&gt;0),G934+Bottom_Line_Table[[#This Row],[Difference]],"N/A")</f>
        <v>N/A</v>
      </c>
    </row>
    <row r="936" spans="2:7" x14ac:dyDescent="0.3">
      <c r="B936" s="12">
        <v>71803</v>
      </c>
      <c r="C936" s="13">
        <f t="shared" si="31"/>
        <v>71833</v>
      </c>
      <c r="D936" s="14">
        <f>'Income Tracker Data'!V934</f>
        <v>0</v>
      </c>
      <c r="E936" s="15">
        <f>'Expense Tracker Data'!V934</f>
        <v>0</v>
      </c>
      <c r="F936" s="15">
        <f t="shared" si="30"/>
        <v>0</v>
      </c>
      <c r="G936" s="15" t="str">
        <f>IF(AND(D936&gt;0,E936&gt;0),G935+Bottom_Line_Table[[#This Row],[Difference]],"N/A")</f>
        <v>N/A</v>
      </c>
    </row>
    <row r="937" spans="2:7" x14ac:dyDescent="0.3">
      <c r="B937" s="12">
        <v>71834</v>
      </c>
      <c r="C937" s="13">
        <f t="shared" si="31"/>
        <v>71863</v>
      </c>
      <c r="D937" s="14">
        <f>'Income Tracker Data'!V935</f>
        <v>0</v>
      </c>
      <c r="E937" s="15">
        <f>'Expense Tracker Data'!V935</f>
        <v>0</v>
      </c>
      <c r="F937" s="15">
        <f t="shared" si="30"/>
        <v>0</v>
      </c>
      <c r="G937" s="15" t="str">
        <f>IF(AND(D937&gt;0,E937&gt;0),G936+Bottom_Line_Table[[#This Row],[Difference]],"N/A")</f>
        <v>N/A</v>
      </c>
    </row>
    <row r="938" spans="2:7" x14ac:dyDescent="0.3">
      <c r="B938" s="12">
        <v>71864</v>
      </c>
      <c r="C938" s="13">
        <f t="shared" si="31"/>
        <v>71894</v>
      </c>
      <c r="D938" s="14">
        <f>'Income Tracker Data'!V936</f>
        <v>0</v>
      </c>
      <c r="E938" s="15">
        <f>'Expense Tracker Data'!V936</f>
        <v>0</v>
      </c>
      <c r="F938" s="15">
        <f t="shared" si="30"/>
        <v>0</v>
      </c>
      <c r="G938" s="15" t="str">
        <f>IF(AND(D938&gt;0,E938&gt;0),G937+Bottom_Line_Table[[#This Row],[Difference]],"N/A")</f>
        <v>N/A</v>
      </c>
    </row>
    <row r="939" spans="2:7" x14ac:dyDescent="0.3">
      <c r="B939" s="12">
        <v>71895</v>
      </c>
      <c r="C939" s="13">
        <f t="shared" si="31"/>
        <v>71924</v>
      </c>
      <c r="D939" s="14">
        <f>'Income Tracker Data'!V937</f>
        <v>0</v>
      </c>
      <c r="E939" s="15">
        <f>'Expense Tracker Data'!V937</f>
        <v>0</v>
      </c>
      <c r="F939" s="15">
        <f t="shared" si="30"/>
        <v>0</v>
      </c>
      <c r="G939" s="15" t="str">
        <f>IF(AND(D939&gt;0,E939&gt;0),G938+Bottom_Line_Table[[#This Row],[Difference]],"N/A")</f>
        <v>N/A</v>
      </c>
    </row>
    <row r="940" spans="2:7" x14ac:dyDescent="0.3">
      <c r="B940" s="12">
        <v>71925</v>
      </c>
      <c r="C940" s="13">
        <f t="shared" si="31"/>
        <v>71955</v>
      </c>
      <c r="D940" s="14">
        <f>'Income Tracker Data'!V938</f>
        <v>0</v>
      </c>
      <c r="E940" s="15">
        <f>'Expense Tracker Data'!V938</f>
        <v>0</v>
      </c>
      <c r="F940" s="15">
        <f t="shared" si="30"/>
        <v>0</v>
      </c>
      <c r="G940" s="15" t="str">
        <f>IF(AND(D940&gt;0,E940&gt;0),G939+Bottom_Line_Table[[#This Row],[Difference]],"N/A")</f>
        <v>N/A</v>
      </c>
    </row>
    <row r="941" spans="2:7" x14ac:dyDescent="0.3">
      <c r="B941" s="12">
        <v>71956</v>
      </c>
      <c r="C941" s="13">
        <f t="shared" si="31"/>
        <v>71986</v>
      </c>
      <c r="D941" s="14">
        <f>'Income Tracker Data'!V939</f>
        <v>0</v>
      </c>
      <c r="E941" s="15">
        <f>'Expense Tracker Data'!V939</f>
        <v>0</v>
      </c>
      <c r="F941" s="15">
        <f t="shared" si="30"/>
        <v>0</v>
      </c>
      <c r="G941" s="15" t="str">
        <f>IF(AND(D941&gt;0,E941&gt;0),G940+Bottom_Line_Table[[#This Row],[Difference]],"N/A")</f>
        <v>N/A</v>
      </c>
    </row>
    <row r="942" spans="2:7" x14ac:dyDescent="0.3">
      <c r="B942" s="12">
        <v>71987</v>
      </c>
      <c r="C942" s="13">
        <f t="shared" si="31"/>
        <v>72014</v>
      </c>
      <c r="D942" s="14">
        <f>'Income Tracker Data'!V940</f>
        <v>0</v>
      </c>
      <c r="E942" s="15">
        <f>'Expense Tracker Data'!V940</f>
        <v>0</v>
      </c>
      <c r="F942" s="15">
        <f t="shared" si="30"/>
        <v>0</v>
      </c>
      <c r="G942" s="15" t="str">
        <f>IF(AND(D942&gt;0,E942&gt;0),G941+Bottom_Line_Table[[#This Row],[Difference]],"N/A")</f>
        <v>N/A</v>
      </c>
    </row>
    <row r="943" spans="2:7" x14ac:dyDescent="0.3">
      <c r="B943" s="12">
        <v>72015</v>
      </c>
      <c r="C943" s="13">
        <f t="shared" si="31"/>
        <v>72045</v>
      </c>
      <c r="D943" s="14">
        <f>'Income Tracker Data'!V941</f>
        <v>0</v>
      </c>
      <c r="E943" s="15">
        <f>'Expense Tracker Data'!V941</f>
        <v>0</v>
      </c>
      <c r="F943" s="15">
        <f t="shared" si="30"/>
        <v>0</v>
      </c>
      <c r="G943" s="15" t="str">
        <f>IF(AND(D943&gt;0,E943&gt;0),G942+Bottom_Line_Table[[#This Row],[Difference]],"N/A")</f>
        <v>N/A</v>
      </c>
    </row>
    <row r="944" spans="2:7" x14ac:dyDescent="0.3">
      <c r="B944" s="12">
        <v>72046</v>
      </c>
      <c r="C944" s="13">
        <f t="shared" si="31"/>
        <v>72075</v>
      </c>
      <c r="D944" s="14">
        <f>'Income Tracker Data'!V942</f>
        <v>0</v>
      </c>
      <c r="E944" s="15">
        <f>'Expense Tracker Data'!V942</f>
        <v>0</v>
      </c>
      <c r="F944" s="15">
        <f t="shared" si="30"/>
        <v>0</v>
      </c>
      <c r="G944" s="15" t="str">
        <f>IF(AND(D944&gt;0,E944&gt;0),G943+Bottom_Line_Table[[#This Row],[Difference]],"N/A")</f>
        <v>N/A</v>
      </c>
    </row>
    <row r="945" spans="2:7" x14ac:dyDescent="0.3">
      <c r="B945" s="12">
        <v>72076</v>
      </c>
      <c r="C945" s="13">
        <f t="shared" si="31"/>
        <v>72106</v>
      </c>
      <c r="D945" s="14">
        <f>'Income Tracker Data'!V943</f>
        <v>0</v>
      </c>
      <c r="E945" s="15">
        <f>'Expense Tracker Data'!V943</f>
        <v>0</v>
      </c>
      <c r="F945" s="15">
        <f t="shared" si="30"/>
        <v>0</v>
      </c>
      <c r="G945" s="15" t="str">
        <f>IF(AND(D945&gt;0,E945&gt;0),G944+Bottom_Line_Table[[#This Row],[Difference]],"N/A")</f>
        <v>N/A</v>
      </c>
    </row>
    <row r="946" spans="2:7" x14ac:dyDescent="0.3">
      <c r="B946" s="12">
        <v>72107</v>
      </c>
      <c r="C946" s="13">
        <f t="shared" si="31"/>
        <v>72136</v>
      </c>
      <c r="D946" s="14">
        <f>'Income Tracker Data'!V944</f>
        <v>0</v>
      </c>
      <c r="E946" s="15">
        <f>'Expense Tracker Data'!V944</f>
        <v>0</v>
      </c>
      <c r="F946" s="15">
        <f t="shared" si="30"/>
        <v>0</v>
      </c>
      <c r="G946" s="15" t="str">
        <f>IF(AND(D946&gt;0,E946&gt;0),G945+Bottom_Line_Table[[#This Row],[Difference]],"N/A")</f>
        <v>N/A</v>
      </c>
    </row>
    <row r="947" spans="2:7" x14ac:dyDescent="0.3">
      <c r="B947" s="12">
        <v>72137</v>
      </c>
      <c r="C947" s="13">
        <f t="shared" si="31"/>
        <v>72167</v>
      </c>
      <c r="D947" s="14">
        <f>'Income Tracker Data'!V945</f>
        <v>0</v>
      </c>
      <c r="E947" s="15">
        <f>'Expense Tracker Data'!V945</f>
        <v>0</v>
      </c>
      <c r="F947" s="15">
        <f t="shared" si="30"/>
        <v>0</v>
      </c>
      <c r="G947" s="15" t="str">
        <f>IF(AND(D947&gt;0,E947&gt;0),G946+Bottom_Line_Table[[#This Row],[Difference]],"N/A")</f>
        <v>N/A</v>
      </c>
    </row>
    <row r="948" spans="2:7" x14ac:dyDescent="0.3">
      <c r="B948" s="12">
        <v>72168</v>
      </c>
      <c r="C948" s="13">
        <f t="shared" si="31"/>
        <v>72198</v>
      </c>
      <c r="D948" s="14">
        <f>'Income Tracker Data'!V946</f>
        <v>0</v>
      </c>
      <c r="E948" s="15">
        <f>'Expense Tracker Data'!V946</f>
        <v>0</v>
      </c>
      <c r="F948" s="15">
        <f t="shared" si="30"/>
        <v>0</v>
      </c>
      <c r="G948" s="15" t="str">
        <f>IF(AND(D948&gt;0,E948&gt;0),G947+Bottom_Line_Table[[#This Row],[Difference]],"N/A")</f>
        <v>N/A</v>
      </c>
    </row>
    <row r="949" spans="2:7" x14ac:dyDescent="0.3">
      <c r="B949" s="12">
        <v>72199</v>
      </c>
      <c r="C949" s="13">
        <f t="shared" si="31"/>
        <v>72228</v>
      </c>
      <c r="D949" s="14">
        <f>'Income Tracker Data'!V947</f>
        <v>0</v>
      </c>
      <c r="E949" s="15">
        <f>'Expense Tracker Data'!V947</f>
        <v>0</v>
      </c>
      <c r="F949" s="15">
        <f t="shared" si="30"/>
        <v>0</v>
      </c>
      <c r="G949" s="15" t="str">
        <f>IF(AND(D949&gt;0,E949&gt;0),G948+Bottom_Line_Table[[#This Row],[Difference]],"N/A")</f>
        <v>N/A</v>
      </c>
    </row>
    <row r="950" spans="2:7" x14ac:dyDescent="0.3">
      <c r="B950" s="12">
        <v>72229</v>
      </c>
      <c r="C950" s="13">
        <f t="shared" si="31"/>
        <v>72259</v>
      </c>
      <c r="D950" s="14">
        <f>'Income Tracker Data'!V948</f>
        <v>0</v>
      </c>
      <c r="E950" s="15">
        <f>'Expense Tracker Data'!V948</f>
        <v>0</v>
      </c>
      <c r="F950" s="15">
        <f t="shared" si="30"/>
        <v>0</v>
      </c>
      <c r="G950" s="15" t="str">
        <f>IF(AND(D950&gt;0,E950&gt;0),G949+Bottom_Line_Table[[#This Row],[Difference]],"N/A")</f>
        <v>N/A</v>
      </c>
    </row>
    <row r="951" spans="2:7" x14ac:dyDescent="0.3">
      <c r="B951" s="12">
        <v>72260</v>
      </c>
      <c r="C951" s="13">
        <f t="shared" si="31"/>
        <v>72289</v>
      </c>
      <c r="D951" s="14">
        <f>'Income Tracker Data'!V949</f>
        <v>0</v>
      </c>
      <c r="E951" s="15">
        <f>'Expense Tracker Data'!V949</f>
        <v>0</v>
      </c>
      <c r="F951" s="15">
        <f t="shared" si="30"/>
        <v>0</v>
      </c>
      <c r="G951" s="15" t="str">
        <f>IF(AND(D951&gt;0,E951&gt;0),G950+Bottom_Line_Table[[#This Row],[Difference]],"N/A")</f>
        <v>N/A</v>
      </c>
    </row>
    <row r="952" spans="2:7" x14ac:dyDescent="0.3">
      <c r="B952" s="12">
        <v>72290</v>
      </c>
      <c r="C952" s="13">
        <f t="shared" si="31"/>
        <v>72320</v>
      </c>
      <c r="D952" s="14">
        <f>'Income Tracker Data'!V950</f>
        <v>0</v>
      </c>
      <c r="E952" s="15">
        <f>'Expense Tracker Data'!V950</f>
        <v>0</v>
      </c>
      <c r="F952" s="15">
        <f t="shared" si="30"/>
        <v>0</v>
      </c>
      <c r="G952" s="15" t="str">
        <f>IF(AND(D952&gt;0,E952&gt;0),G951+Bottom_Line_Table[[#This Row],[Difference]],"N/A")</f>
        <v>N/A</v>
      </c>
    </row>
    <row r="953" spans="2:7" x14ac:dyDescent="0.3">
      <c r="B953" s="12">
        <v>72321</v>
      </c>
      <c r="C953" s="13">
        <f t="shared" si="31"/>
        <v>72351</v>
      </c>
      <c r="D953" s="14">
        <f>'Income Tracker Data'!V951</f>
        <v>0</v>
      </c>
      <c r="E953" s="15">
        <f>'Expense Tracker Data'!V951</f>
        <v>0</v>
      </c>
      <c r="F953" s="15">
        <f t="shared" si="30"/>
        <v>0</v>
      </c>
      <c r="G953" s="15" t="str">
        <f>IF(AND(D953&gt;0,E953&gt;0),G952+Bottom_Line_Table[[#This Row],[Difference]],"N/A")</f>
        <v>N/A</v>
      </c>
    </row>
    <row r="954" spans="2:7" x14ac:dyDescent="0.3">
      <c r="B954" s="12">
        <v>72352</v>
      </c>
      <c r="C954" s="13">
        <f t="shared" si="31"/>
        <v>72379</v>
      </c>
      <c r="D954" s="14">
        <f>'Income Tracker Data'!V952</f>
        <v>0</v>
      </c>
      <c r="E954" s="15">
        <f>'Expense Tracker Data'!V952</f>
        <v>0</v>
      </c>
      <c r="F954" s="15">
        <f t="shared" si="30"/>
        <v>0</v>
      </c>
      <c r="G954" s="15" t="str">
        <f>IF(AND(D954&gt;0,E954&gt;0),G953+Bottom_Line_Table[[#This Row],[Difference]],"N/A")</f>
        <v>N/A</v>
      </c>
    </row>
    <row r="955" spans="2:7" x14ac:dyDescent="0.3">
      <c r="B955" s="12">
        <v>72380</v>
      </c>
      <c r="C955" s="13">
        <f t="shared" si="31"/>
        <v>72410</v>
      </c>
      <c r="D955" s="14">
        <f>'Income Tracker Data'!V953</f>
        <v>0</v>
      </c>
      <c r="E955" s="15">
        <f>'Expense Tracker Data'!V953</f>
        <v>0</v>
      </c>
      <c r="F955" s="15">
        <f t="shared" si="30"/>
        <v>0</v>
      </c>
      <c r="G955" s="15" t="str">
        <f>IF(AND(D955&gt;0,E955&gt;0),G954+Bottom_Line_Table[[#This Row],[Difference]],"N/A")</f>
        <v>N/A</v>
      </c>
    </row>
    <row r="956" spans="2:7" x14ac:dyDescent="0.3">
      <c r="B956" s="12">
        <v>72411</v>
      </c>
      <c r="C956" s="13">
        <f t="shared" si="31"/>
        <v>72440</v>
      </c>
      <c r="D956" s="14">
        <f>'Income Tracker Data'!V954</f>
        <v>0</v>
      </c>
      <c r="E956" s="15">
        <f>'Expense Tracker Data'!V954</f>
        <v>0</v>
      </c>
      <c r="F956" s="15">
        <f t="shared" si="30"/>
        <v>0</v>
      </c>
      <c r="G956" s="15" t="str">
        <f>IF(AND(D956&gt;0,E956&gt;0),G955+Bottom_Line_Table[[#This Row],[Difference]],"N/A")</f>
        <v>N/A</v>
      </c>
    </row>
    <row r="957" spans="2:7" x14ac:dyDescent="0.3">
      <c r="B957" s="12">
        <v>72441</v>
      </c>
      <c r="C957" s="13">
        <f t="shared" si="31"/>
        <v>72471</v>
      </c>
      <c r="D957" s="14">
        <f>'Income Tracker Data'!V955</f>
        <v>0</v>
      </c>
      <c r="E957" s="15">
        <f>'Expense Tracker Data'!V955</f>
        <v>0</v>
      </c>
      <c r="F957" s="15">
        <f t="shared" si="30"/>
        <v>0</v>
      </c>
      <c r="G957" s="15" t="str">
        <f>IF(AND(D957&gt;0,E957&gt;0),G956+Bottom_Line_Table[[#This Row],[Difference]],"N/A")</f>
        <v>N/A</v>
      </c>
    </row>
    <row r="958" spans="2:7" x14ac:dyDescent="0.3">
      <c r="B958" s="12">
        <v>72472</v>
      </c>
      <c r="C958" s="13">
        <f t="shared" si="31"/>
        <v>72501</v>
      </c>
      <c r="D958" s="14">
        <f>'Income Tracker Data'!V956</f>
        <v>0</v>
      </c>
      <c r="E958" s="15">
        <f>'Expense Tracker Data'!V956</f>
        <v>0</v>
      </c>
      <c r="F958" s="15">
        <f t="shared" si="30"/>
        <v>0</v>
      </c>
      <c r="G958" s="15" t="str">
        <f>IF(AND(D958&gt;0,E958&gt;0),G957+Bottom_Line_Table[[#This Row],[Difference]],"N/A")</f>
        <v>N/A</v>
      </c>
    </row>
    <row r="959" spans="2:7" x14ac:dyDescent="0.3">
      <c r="B959" s="12">
        <v>72502</v>
      </c>
      <c r="C959" s="13">
        <f t="shared" si="31"/>
        <v>72532</v>
      </c>
      <c r="D959" s="14">
        <f>'Income Tracker Data'!V957</f>
        <v>0</v>
      </c>
      <c r="E959" s="15">
        <f>'Expense Tracker Data'!V957</f>
        <v>0</v>
      </c>
      <c r="F959" s="15">
        <f t="shared" si="30"/>
        <v>0</v>
      </c>
      <c r="G959" s="15" t="str">
        <f>IF(AND(D959&gt;0,E959&gt;0),G958+Bottom_Line_Table[[#This Row],[Difference]],"N/A")</f>
        <v>N/A</v>
      </c>
    </row>
    <row r="960" spans="2:7" x14ac:dyDescent="0.3">
      <c r="B960" s="12">
        <v>72533</v>
      </c>
      <c r="C960" s="13">
        <f t="shared" si="31"/>
        <v>72563</v>
      </c>
      <c r="D960" s="14">
        <f>'Income Tracker Data'!V958</f>
        <v>0</v>
      </c>
      <c r="E960" s="15">
        <f>'Expense Tracker Data'!V958</f>
        <v>0</v>
      </c>
      <c r="F960" s="15">
        <f t="shared" si="30"/>
        <v>0</v>
      </c>
      <c r="G960" s="15" t="str">
        <f>IF(AND(D960&gt;0,E960&gt;0),G959+Bottom_Line_Table[[#This Row],[Difference]],"N/A")</f>
        <v>N/A</v>
      </c>
    </row>
    <row r="961" spans="2:7" x14ac:dyDescent="0.3">
      <c r="B961" s="12">
        <v>72564</v>
      </c>
      <c r="C961" s="13">
        <f t="shared" si="31"/>
        <v>72593</v>
      </c>
      <c r="D961" s="14">
        <f>'Income Tracker Data'!V959</f>
        <v>0</v>
      </c>
      <c r="E961" s="15">
        <f>'Expense Tracker Data'!V959</f>
        <v>0</v>
      </c>
      <c r="F961" s="15">
        <f t="shared" si="30"/>
        <v>0</v>
      </c>
      <c r="G961" s="15" t="str">
        <f>IF(AND(D961&gt;0,E961&gt;0),G960+Bottom_Line_Table[[#This Row],[Difference]],"N/A")</f>
        <v>N/A</v>
      </c>
    </row>
    <row r="962" spans="2:7" x14ac:dyDescent="0.3">
      <c r="B962" s="12">
        <v>72594</v>
      </c>
      <c r="C962" s="13">
        <f t="shared" si="31"/>
        <v>72624</v>
      </c>
      <c r="D962" s="14">
        <f>'Income Tracker Data'!V960</f>
        <v>0</v>
      </c>
      <c r="E962" s="15">
        <f>'Expense Tracker Data'!V960</f>
        <v>0</v>
      </c>
      <c r="F962" s="15">
        <f t="shared" si="30"/>
        <v>0</v>
      </c>
      <c r="G962" s="15" t="str">
        <f>IF(AND(D962&gt;0,E962&gt;0),G961+Bottom_Line_Table[[#This Row],[Difference]],"N/A")</f>
        <v>N/A</v>
      </c>
    </row>
    <row r="963" spans="2:7" x14ac:dyDescent="0.3">
      <c r="B963" s="12">
        <v>72625</v>
      </c>
      <c r="C963" s="13">
        <f t="shared" si="31"/>
        <v>72654</v>
      </c>
      <c r="D963" s="14">
        <f>'Income Tracker Data'!V961</f>
        <v>0</v>
      </c>
      <c r="E963" s="15">
        <f>'Expense Tracker Data'!V961</f>
        <v>0</v>
      </c>
      <c r="F963" s="15">
        <f t="shared" si="30"/>
        <v>0</v>
      </c>
      <c r="G963" s="15" t="str">
        <f>IF(AND(D963&gt;0,E963&gt;0),G962+Bottom_Line_Table[[#This Row],[Difference]],"N/A")</f>
        <v>N/A</v>
      </c>
    </row>
    <row r="964" spans="2:7" x14ac:dyDescent="0.3">
      <c r="B964" s="12">
        <v>72655</v>
      </c>
      <c r="C964" s="13">
        <f t="shared" si="31"/>
        <v>72685</v>
      </c>
      <c r="D964" s="14">
        <f>'Income Tracker Data'!V962</f>
        <v>0</v>
      </c>
      <c r="E964" s="15">
        <f>'Expense Tracker Data'!V962</f>
        <v>0</v>
      </c>
      <c r="F964" s="15">
        <f t="shared" si="30"/>
        <v>0</v>
      </c>
      <c r="G964" s="15" t="str">
        <f>IF(AND(D964&gt;0,E964&gt;0),G963+Bottom_Line_Table[[#This Row],[Difference]],"N/A")</f>
        <v>N/A</v>
      </c>
    </row>
    <row r="965" spans="2:7" x14ac:dyDescent="0.3">
      <c r="B965" s="12">
        <v>72686</v>
      </c>
      <c r="C965" s="13">
        <f t="shared" si="31"/>
        <v>72716</v>
      </c>
      <c r="D965" s="14">
        <f>'Income Tracker Data'!V963</f>
        <v>0</v>
      </c>
      <c r="E965" s="15">
        <f>'Expense Tracker Data'!V963</f>
        <v>0</v>
      </c>
      <c r="F965" s="15">
        <f t="shared" si="30"/>
        <v>0</v>
      </c>
      <c r="G965" s="15" t="str">
        <f>IF(AND(D965&gt;0,E965&gt;0),G964+Bottom_Line_Table[[#This Row],[Difference]],"N/A")</f>
        <v>N/A</v>
      </c>
    </row>
    <row r="966" spans="2:7" x14ac:dyDescent="0.3">
      <c r="B966" s="12">
        <v>72717</v>
      </c>
      <c r="C966" s="13">
        <f t="shared" si="31"/>
        <v>72744</v>
      </c>
      <c r="D966" s="14">
        <f>'Income Tracker Data'!V964</f>
        <v>0</v>
      </c>
      <c r="E966" s="15">
        <f>'Expense Tracker Data'!V964</f>
        <v>0</v>
      </c>
      <c r="F966" s="15">
        <f t="shared" ref="F966:F976" si="32">D966-E966</f>
        <v>0</v>
      </c>
      <c r="G966" s="15" t="str">
        <f>IF(AND(D966&gt;0,E966&gt;0),G965+Bottom_Line_Table[[#This Row],[Difference]],"N/A")</f>
        <v>N/A</v>
      </c>
    </row>
    <row r="967" spans="2:7" x14ac:dyDescent="0.3">
      <c r="B967" s="12">
        <v>72745</v>
      </c>
      <c r="C967" s="13">
        <f t="shared" si="31"/>
        <v>72775</v>
      </c>
      <c r="D967" s="14">
        <f>'Income Tracker Data'!V965</f>
        <v>0</v>
      </c>
      <c r="E967" s="15">
        <f>'Expense Tracker Data'!V965</f>
        <v>0</v>
      </c>
      <c r="F967" s="15">
        <f t="shared" si="32"/>
        <v>0</v>
      </c>
      <c r="G967" s="15" t="str">
        <f>IF(AND(D967&gt;0,E967&gt;0),G966+Bottom_Line_Table[[#This Row],[Difference]],"N/A")</f>
        <v>N/A</v>
      </c>
    </row>
    <row r="968" spans="2:7" x14ac:dyDescent="0.3">
      <c r="B968" s="12">
        <v>72776</v>
      </c>
      <c r="C968" s="13">
        <f t="shared" si="31"/>
        <v>72805</v>
      </c>
      <c r="D968" s="14">
        <f>'Income Tracker Data'!V966</f>
        <v>0</v>
      </c>
      <c r="E968" s="15">
        <f>'Expense Tracker Data'!V966</f>
        <v>0</v>
      </c>
      <c r="F968" s="15">
        <f t="shared" si="32"/>
        <v>0</v>
      </c>
      <c r="G968" s="15" t="str">
        <f>IF(AND(D968&gt;0,E968&gt;0),G967+Bottom_Line_Table[[#This Row],[Difference]],"N/A")</f>
        <v>N/A</v>
      </c>
    </row>
    <row r="969" spans="2:7" x14ac:dyDescent="0.3">
      <c r="B969" s="12">
        <v>72806</v>
      </c>
      <c r="C969" s="13">
        <f t="shared" si="31"/>
        <v>72836</v>
      </c>
      <c r="D969" s="14">
        <f>'Income Tracker Data'!V967</f>
        <v>0</v>
      </c>
      <c r="E969" s="15">
        <f>'Expense Tracker Data'!V967</f>
        <v>0</v>
      </c>
      <c r="F969" s="15">
        <f t="shared" si="32"/>
        <v>0</v>
      </c>
      <c r="G969" s="15" t="str">
        <f>IF(AND(D969&gt;0,E969&gt;0),G968+Bottom_Line_Table[[#This Row],[Difference]],"N/A")</f>
        <v>N/A</v>
      </c>
    </row>
    <row r="970" spans="2:7" x14ac:dyDescent="0.3">
      <c r="B970" s="12">
        <v>72837</v>
      </c>
      <c r="C970" s="13">
        <f t="shared" si="31"/>
        <v>72866</v>
      </c>
      <c r="D970" s="14">
        <f>'Income Tracker Data'!V968</f>
        <v>0</v>
      </c>
      <c r="E970" s="15">
        <f>'Expense Tracker Data'!V968</f>
        <v>0</v>
      </c>
      <c r="F970" s="15">
        <f t="shared" si="32"/>
        <v>0</v>
      </c>
      <c r="G970" s="15" t="str">
        <f>IF(AND(D970&gt;0,E970&gt;0),G969+Bottom_Line_Table[[#This Row],[Difference]],"N/A")</f>
        <v>N/A</v>
      </c>
    </row>
    <row r="971" spans="2:7" x14ac:dyDescent="0.3">
      <c r="B971" s="12">
        <v>72867</v>
      </c>
      <c r="C971" s="13">
        <f t="shared" ref="C971:C976" si="33">EOMONTH(B971,0)</f>
        <v>72897</v>
      </c>
      <c r="D971" s="14">
        <f>'Income Tracker Data'!V969</f>
        <v>0</v>
      </c>
      <c r="E971" s="15">
        <f>'Expense Tracker Data'!V969</f>
        <v>0</v>
      </c>
      <c r="F971" s="15">
        <f t="shared" si="32"/>
        <v>0</v>
      </c>
      <c r="G971" s="15" t="str">
        <f>IF(AND(D971&gt;0,E971&gt;0),G970+Bottom_Line_Table[[#This Row],[Difference]],"N/A")</f>
        <v>N/A</v>
      </c>
    </row>
    <row r="972" spans="2:7" x14ac:dyDescent="0.3">
      <c r="B972" s="12">
        <v>72898</v>
      </c>
      <c r="C972" s="13">
        <f t="shared" si="33"/>
        <v>72928</v>
      </c>
      <c r="D972" s="14">
        <f>'Income Tracker Data'!V970</f>
        <v>0</v>
      </c>
      <c r="E972" s="15">
        <f>'Expense Tracker Data'!V970</f>
        <v>0</v>
      </c>
      <c r="F972" s="15">
        <f t="shared" si="32"/>
        <v>0</v>
      </c>
      <c r="G972" s="15" t="str">
        <f>IF(AND(D972&gt;0,E972&gt;0),G971+Bottom_Line_Table[[#This Row],[Difference]],"N/A")</f>
        <v>N/A</v>
      </c>
    </row>
    <row r="973" spans="2:7" x14ac:dyDescent="0.3">
      <c r="B973" s="12">
        <v>72929</v>
      </c>
      <c r="C973" s="13">
        <f t="shared" si="33"/>
        <v>72958</v>
      </c>
      <c r="D973" s="14">
        <f>'Income Tracker Data'!V971</f>
        <v>0</v>
      </c>
      <c r="E973" s="15">
        <f>'Expense Tracker Data'!V971</f>
        <v>0</v>
      </c>
      <c r="F973" s="15">
        <f t="shared" si="32"/>
        <v>0</v>
      </c>
      <c r="G973" s="15" t="str">
        <f>IF(AND(D973&gt;0,E973&gt;0),G972+Bottom_Line_Table[[#This Row],[Difference]],"N/A")</f>
        <v>N/A</v>
      </c>
    </row>
    <row r="974" spans="2:7" x14ac:dyDescent="0.3">
      <c r="B974" s="12">
        <v>72959</v>
      </c>
      <c r="C974" s="13">
        <f t="shared" si="33"/>
        <v>72989</v>
      </c>
      <c r="D974" s="14">
        <f>'Income Tracker Data'!V972</f>
        <v>0</v>
      </c>
      <c r="E974" s="15">
        <f>'Expense Tracker Data'!V972</f>
        <v>0</v>
      </c>
      <c r="F974" s="15">
        <f t="shared" si="32"/>
        <v>0</v>
      </c>
      <c r="G974" s="15" t="str">
        <f>IF(AND(D974&gt;0,E974&gt;0),G973+Bottom_Line_Table[[#This Row],[Difference]],"N/A")</f>
        <v>N/A</v>
      </c>
    </row>
    <row r="975" spans="2:7" x14ac:dyDescent="0.3">
      <c r="B975" s="12">
        <v>72990</v>
      </c>
      <c r="C975" s="13">
        <f t="shared" si="33"/>
        <v>73019</v>
      </c>
      <c r="D975" s="14">
        <f>'Income Tracker Data'!V973</f>
        <v>0</v>
      </c>
      <c r="E975" s="15">
        <f>'Expense Tracker Data'!V973</f>
        <v>0</v>
      </c>
      <c r="F975" s="15">
        <f t="shared" si="32"/>
        <v>0</v>
      </c>
      <c r="G975" s="15" t="str">
        <f>IF(AND(D975&gt;0,E975&gt;0),G974+Bottom_Line_Table[[#This Row],[Difference]],"N/A")</f>
        <v>N/A</v>
      </c>
    </row>
    <row r="976" spans="2:7" x14ac:dyDescent="0.3">
      <c r="B976" s="16">
        <v>73020</v>
      </c>
      <c r="C976" s="17">
        <f t="shared" si="33"/>
        <v>73050</v>
      </c>
      <c r="D976" s="14">
        <f>'Income Tracker Data'!V974</f>
        <v>0</v>
      </c>
      <c r="E976" s="15">
        <f>'Expense Tracker Data'!V974</f>
        <v>0</v>
      </c>
      <c r="F976" s="15">
        <f t="shared" si="32"/>
        <v>0</v>
      </c>
      <c r="G976" s="15" t="str">
        <f>IF(AND(D976&gt;0,E976&gt;0),G975+Bottom_Line_Table[[#This Row],[Difference]],"N/A")</f>
        <v>N/A</v>
      </c>
    </row>
  </sheetData>
  <sheetProtection sheet="1" objects="1" scenarios="1"/>
  <mergeCells count="1">
    <mergeCell ref="B3:G3"/>
  </mergeCells>
  <phoneticPr fontId="1" type="noConversion"/>
  <conditionalFormatting sqref="F5:F1048576">
    <cfRule type="cellIs" dxfId="0" priority="1" operator="lessThan">
      <formula>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776E-3ECD-40BE-8182-76DC7AF5840B}">
  <sheetPr codeName="Sheet7">
    <tabColor rgb="FFFFFF00"/>
  </sheetPr>
  <dimension ref="B5:K20"/>
  <sheetViews>
    <sheetView workbookViewId="0">
      <selection activeCell="E8" sqref="E8"/>
    </sheetView>
  </sheetViews>
  <sheetFormatPr defaultRowHeight="14.4" x14ac:dyDescent="0.3"/>
  <cols>
    <col min="2" max="2" width="13.88671875" bestFit="1" customWidth="1"/>
    <col min="5" max="5" width="13.5546875" bestFit="1" customWidth="1"/>
    <col min="8" max="8" width="13.88671875" bestFit="1" customWidth="1"/>
  </cols>
  <sheetData>
    <row r="5" spans="2:11" x14ac:dyDescent="0.3">
      <c r="B5" t="s">
        <v>35</v>
      </c>
      <c r="E5" t="s">
        <v>30</v>
      </c>
      <c r="H5" t="s">
        <v>11</v>
      </c>
      <c r="K5" t="s">
        <v>47</v>
      </c>
    </row>
    <row r="6" spans="2:11" x14ac:dyDescent="0.3">
      <c r="B6" t="s">
        <v>50</v>
      </c>
      <c r="E6" t="s">
        <v>51</v>
      </c>
      <c r="H6" t="s">
        <v>52</v>
      </c>
      <c r="K6">
        <v>10000</v>
      </c>
    </row>
    <row r="7" spans="2:11" x14ac:dyDescent="0.3">
      <c r="B7" t="s">
        <v>31</v>
      </c>
      <c r="E7" t="s">
        <v>28</v>
      </c>
      <c r="H7" t="s">
        <v>53</v>
      </c>
    </row>
    <row r="8" spans="2:11" x14ac:dyDescent="0.3">
      <c r="B8" t="s">
        <v>37</v>
      </c>
      <c r="E8" t="s">
        <v>54</v>
      </c>
      <c r="H8" t="s">
        <v>55</v>
      </c>
    </row>
    <row r="9" spans="2:11" x14ac:dyDescent="0.3">
      <c r="B9" t="s">
        <v>34</v>
      </c>
      <c r="E9" t="s">
        <v>56</v>
      </c>
      <c r="H9" t="s">
        <v>13</v>
      </c>
    </row>
    <row r="10" spans="2:11" x14ac:dyDescent="0.3">
      <c r="B10" t="s">
        <v>32</v>
      </c>
      <c r="H10" t="s">
        <v>57</v>
      </c>
    </row>
    <row r="11" spans="2:11" x14ac:dyDescent="0.3">
      <c r="B11" t="s">
        <v>58</v>
      </c>
      <c r="H11" t="s">
        <v>59</v>
      </c>
    </row>
    <row r="12" spans="2:11" x14ac:dyDescent="0.3">
      <c r="B12" t="s">
        <v>33</v>
      </c>
      <c r="H12" t="s">
        <v>12</v>
      </c>
    </row>
    <row r="13" spans="2:11" x14ac:dyDescent="0.3">
      <c r="B13" t="s">
        <v>60</v>
      </c>
      <c r="H13" t="s">
        <v>61</v>
      </c>
    </row>
    <row r="14" spans="2:11" x14ac:dyDescent="0.3">
      <c r="B14" t="s">
        <v>62</v>
      </c>
      <c r="H14" t="s">
        <v>63</v>
      </c>
    </row>
    <row r="15" spans="2:11" x14ac:dyDescent="0.3">
      <c r="B15" t="s">
        <v>64</v>
      </c>
      <c r="H15" t="s">
        <v>65</v>
      </c>
    </row>
    <row r="16" spans="2:11" x14ac:dyDescent="0.3">
      <c r="B16" t="s">
        <v>38</v>
      </c>
      <c r="H16" t="s">
        <v>66</v>
      </c>
    </row>
    <row r="17" spans="2:8" x14ac:dyDescent="0.3">
      <c r="B17" t="s">
        <v>67</v>
      </c>
      <c r="H17" t="s">
        <v>68</v>
      </c>
    </row>
    <row r="18" spans="2:8" x14ac:dyDescent="0.3">
      <c r="B18" t="s">
        <v>36</v>
      </c>
      <c r="H18" t="s">
        <v>29</v>
      </c>
    </row>
    <row r="19" spans="2:8" x14ac:dyDescent="0.3">
      <c r="B19" t="s">
        <v>39</v>
      </c>
      <c r="H19" t="s">
        <v>9</v>
      </c>
    </row>
    <row r="20" spans="2:8" x14ac:dyDescent="0.3">
      <c r="B20" t="s">
        <v>29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Income Tracker Data</vt:lpstr>
      <vt:lpstr>Income Tracker Dashboard</vt:lpstr>
      <vt:lpstr>Expense Tracker Data</vt:lpstr>
      <vt:lpstr>Expense Tracker Dashboard</vt:lpstr>
      <vt:lpstr>Student Loan Calculator</vt:lpstr>
      <vt:lpstr>Bottom Line</vt:lpstr>
      <vt:lpstr>Do Not Touch</vt:lpstr>
      <vt:lpstr>Student_Loan_Balance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larry roberts</dc:creator>
  <cp:keywords/>
  <dc:description/>
  <cp:lastModifiedBy>larry roberts</cp:lastModifiedBy>
  <cp:revision/>
  <dcterms:created xsi:type="dcterms:W3CDTF">2019-11-08T04:37:12Z</dcterms:created>
  <dcterms:modified xsi:type="dcterms:W3CDTF">2021-01-14T23:51:21Z</dcterms:modified>
  <cp:category/>
  <cp:contentStatus/>
</cp:coreProperties>
</file>